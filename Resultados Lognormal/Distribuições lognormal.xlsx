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2D562A6E-0D83-4774-81BB-D4DD747A45D4}" xr6:coauthVersionLast="47" xr6:coauthVersionMax="47" xr10:uidLastSave="{00000000-0000-0000-0000-000000000000}"/>
  <bookViews>
    <workbookView xWindow="-21825" yWindow="2820" windowWidth="16290" windowHeight="10365" firstSheet="1" activeTab="4" xr2:uid="{D18CE87D-169E-4E84-B72A-2874F70A692B}"/>
  </bookViews>
  <sheets>
    <sheet name="Custo e Disponibilidade" sheetId="1" r:id="rId1"/>
    <sheet name="lognormal 1" sheetId="2" r:id="rId2"/>
    <sheet name="lognormal 2" sheetId="3" r:id="rId3"/>
    <sheet name="lognormal 3" sheetId="4" r:id="rId4"/>
    <sheet name="Otimizaçã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5" l="1"/>
  <c r="B11" i="1"/>
  <c r="B3" i="4"/>
  <c r="C3" i="4" s="1"/>
  <c r="B2" i="4"/>
  <c r="C2" i="4" s="1"/>
  <c r="B4" i="4"/>
  <c r="C4" i="4" s="1"/>
  <c r="B5" i="4"/>
  <c r="B6" i="4"/>
  <c r="C6" i="4" s="1"/>
  <c r="B7" i="4"/>
  <c r="B8" i="4"/>
  <c r="B9" i="4"/>
  <c r="C9" i="4" s="1"/>
  <c r="B10" i="4"/>
  <c r="C10" i="4" s="1"/>
  <c r="B11" i="4"/>
  <c r="C11" i="4" s="1"/>
  <c r="B12" i="4"/>
  <c r="C12" i="4" s="1"/>
  <c r="B13" i="4"/>
  <c r="B14" i="4"/>
  <c r="B15" i="4"/>
  <c r="C15" i="4" s="1"/>
  <c r="B16" i="4"/>
  <c r="B17" i="4"/>
  <c r="C17" i="4" s="1"/>
  <c r="B18" i="4"/>
  <c r="C18" i="4" s="1"/>
  <c r="B19" i="4"/>
  <c r="C19" i="4" s="1"/>
  <c r="B20" i="4"/>
  <c r="C20" i="4" s="1"/>
  <c r="B21" i="4"/>
  <c r="B22" i="4"/>
  <c r="B23" i="4"/>
  <c r="C23" i="4" s="1"/>
  <c r="B24" i="4"/>
  <c r="B25" i="4"/>
  <c r="C25" i="4" s="1"/>
  <c r="B26" i="4"/>
  <c r="C26" i="4" s="1"/>
  <c r="B27" i="4"/>
  <c r="C27" i="4" s="1"/>
  <c r="B28" i="4"/>
  <c r="C28" i="4" s="1"/>
  <c r="B29" i="4"/>
  <c r="B30" i="4"/>
  <c r="B31" i="4"/>
  <c r="C31" i="4" s="1"/>
  <c r="B32" i="4"/>
  <c r="B33" i="4"/>
  <c r="C33" i="4" s="1"/>
  <c r="B34" i="4"/>
  <c r="C34" i="4" s="1"/>
  <c r="B35" i="4"/>
  <c r="C35" i="4" s="1"/>
  <c r="B36" i="4"/>
  <c r="C36" i="4" s="1"/>
  <c r="B37" i="4"/>
  <c r="B38" i="4"/>
  <c r="B39" i="4"/>
  <c r="B40" i="4"/>
  <c r="B41" i="4"/>
  <c r="C41" i="4" s="1"/>
  <c r="B42" i="4"/>
  <c r="C42" i="4" s="1"/>
  <c r="B43" i="4"/>
  <c r="C43" i="4" s="1"/>
  <c r="B44" i="4"/>
  <c r="C44" i="4" s="1"/>
  <c r="B45" i="4"/>
  <c r="B46" i="4"/>
  <c r="B47" i="4"/>
  <c r="C47" i="4" s="1"/>
  <c r="B48" i="4"/>
  <c r="B49" i="4"/>
  <c r="C49" i="4" s="1"/>
  <c r="B50" i="4"/>
  <c r="C50" i="4" s="1"/>
  <c r="B51" i="4"/>
  <c r="C51" i="4" s="1"/>
  <c r="B52" i="4"/>
  <c r="C52" i="4" s="1"/>
  <c r="B53" i="4"/>
  <c r="B54" i="4"/>
  <c r="C54" i="4" s="1"/>
  <c r="B55" i="4"/>
  <c r="C55" i="4" s="1"/>
  <c r="B56" i="4"/>
  <c r="B57" i="4"/>
  <c r="C57" i="4" s="1"/>
  <c r="B58" i="4"/>
  <c r="C58" i="4" s="1"/>
  <c r="B59" i="4"/>
  <c r="C59" i="4" s="1"/>
  <c r="B60" i="4"/>
  <c r="C60" i="4" s="1"/>
  <c r="B61" i="4"/>
  <c r="B62" i="4"/>
  <c r="B63" i="4"/>
  <c r="C63" i="4" s="1"/>
  <c r="B64" i="4"/>
  <c r="B65" i="4"/>
  <c r="C65" i="4" s="1"/>
  <c r="B66" i="4"/>
  <c r="C66" i="4" s="1"/>
  <c r="B67" i="4"/>
  <c r="C67" i="4" s="1"/>
  <c r="B68" i="4"/>
  <c r="C68" i="4" s="1"/>
  <c r="B69" i="4"/>
  <c r="B70" i="4"/>
  <c r="B71" i="4"/>
  <c r="C71" i="4" s="1"/>
  <c r="B72" i="4"/>
  <c r="B73" i="4"/>
  <c r="C73" i="4" s="1"/>
  <c r="B74" i="4"/>
  <c r="C74" i="4" s="1"/>
  <c r="B75" i="4"/>
  <c r="C75" i="4" s="1"/>
  <c r="B76" i="4"/>
  <c r="C76" i="4" s="1"/>
  <c r="B77" i="4"/>
  <c r="B78" i="4"/>
  <c r="C78" i="4" s="1"/>
  <c r="B79" i="4"/>
  <c r="C79" i="4" s="1"/>
  <c r="B80" i="4"/>
  <c r="B81" i="4"/>
  <c r="C81" i="4" s="1"/>
  <c r="B82" i="4"/>
  <c r="C82" i="4" s="1"/>
  <c r="B83" i="4"/>
  <c r="C83" i="4" s="1"/>
  <c r="B84" i="4"/>
  <c r="C84" i="4" s="1"/>
  <c r="B85" i="4"/>
  <c r="B86" i="4"/>
  <c r="B87" i="4"/>
  <c r="B88" i="4"/>
  <c r="B89" i="4"/>
  <c r="C89" i="4" s="1"/>
  <c r="B90" i="4"/>
  <c r="C90" i="4" s="1"/>
  <c r="B91" i="4"/>
  <c r="C91" i="4" s="1"/>
  <c r="B92" i="4"/>
  <c r="C92" i="4" s="1"/>
  <c r="B93" i="4"/>
  <c r="B94" i="4"/>
  <c r="B95" i="4"/>
  <c r="C95" i="4" s="1"/>
  <c r="B96" i="4"/>
  <c r="B97" i="4"/>
  <c r="C97" i="4" s="1"/>
  <c r="B98" i="4"/>
  <c r="C98" i="4" s="1"/>
  <c r="B99" i="4"/>
  <c r="C99" i="4" s="1"/>
  <c r="B100" i="4"/>
  <c r="C100" i="4" s="1"/>
  <c r="B101" i="4"/>
  <c r="B102" i="4"/>
  <c r="C5" i="4"/>
  <c r="C7" i="4"/>
  <c r="C8" i="4"/>
  <c r="C13" i="4"/>
  <c r="C14" i="4"/>
  <c r="C16" i="4"/>
  <c r="C21" i="4"/>
  <c r="C22" i="4"/>
  <c r="C24" i="4"/>
  <c r="C29" i="4"/>
  <c r="C30" i="4"/>
  <c r="C32" i="4"/>
  <c r="C37" i="4"/>
  <c r="C38" i="4"/>
  <c r="C39" i="4"/>
  <c r="C40" i="4"/>
  <c r="C45" i="4"/>
  <c r="C46" i="4"/>
  <c r="C48" i="4"/>
  <c r="C53" i="4"/>
  <c r="C56" i="4"/>
  <c r="C61" i="4"/>
  <c r="C62" i="4"/>
  <c r="C64" i="4"/>
  <c r="C69" i="4"/>
  <c r="C70" i="4"/>
  <c r="C72" i="4"/>
  <c r="C77" i="4"/>
  <c r="C80" i="4"/>
  <c r="C85" i="4"/>
  <c r="C86" i="4"/>
  <c r="C87" i="4"/>
  <c r="C88" i="4"/>
  <c r="C93" i="4"/>
  <c r="C94" i="4"/>
  <c r="C96" i="4"/>
  <c r="C101" i="4"/>
  <c r="C102" i="4"/>
  <c r="C7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B11" i="3"/>
  <c r="C11" i="3" s="1"/>
  <c r="B2" i="3"/>
  <c r="C2" i="3" s="1"/>
  <c r="B3" i="3"/>
  <c r="C3" i="3" s="1"/>
  <c r="B4" i="3"/>
  <c r="C4" i="3" s="1"/>
  <c r="B5" i="3"/>
  <c r="C5" i="3" s="1"/>
  <c r="B6" i="3"/>
  <c r="C6" i="3" s="1"/>
  <c r="B7" i="3"/>
  <c r="B8" i="3"/>
  <c r="B9" i="3"/>
  <c r="C9" i="3" s="1"/>
  <c r="B10" i="3"/>
  <c r="C10" i="3" s="1"/>
  <c r="B12" i="3"/>
  <c r="B13" i="3"/>
  <c r="C13" i="3" s="1"/>
  <c r="B14" i="3"/>
  <c r="C14" i="3" s="1"/>
  <c r="B15" i="3"/>
  <c r="C15" i="3" s="1"/>
  <c r="B16" i="3"/>
  <c r="B17" i="3"/>
  <c r="C17" i="3" s="1"/>
  <c r="B18" i="3"/>
  <c r="C18" i="3" s="1"/>
  <c r="B19" i="3"/>
  <c r="C19" i="3" s="1"/>
  <c r="B20" i="3"/>
  <c r="B21" i="3"/>
  <c r="C21" i="3" s="1"/>
  <c r="B22" i="3"/>
  <c r="C22" i="3" s="1"/>
  <c r="B23" i="3"/>
  <c r="C23" i="3" s="1"/>
  <c r="B24" i="3"/>
  <c r="B25" i="3"/>
  <c r="C25" i="3" s="1"/>
  <c r="B26" i="3"/>
  <c r="C26" i="3" s="1"/>
  <c r="B27" i="3"/>
  <c r="C27" i="3" s="1"/>
  <c r="B28" i="3"/>
  <c r="B29" i="3"/>
  <c r="C29" i="3" s="1"/>
  <c r="B30" i="3"/>
  <c r="C30" i="3" s="1"/>
  <c r="B31" i="3"/>
  <c r="C31" i="3" s="1"/>
  <c r="B32" i="3"/>
  <c r="B33" i="3"/>
  <c r="C33" i="3" s="1"/>
  <c r="B34" i="3"/>
  <c r="C34" i="3" s="1"/>
  <c r="B35" i="3"/>
  <c r="C35" i="3" s="1"/>
  <c r="B36" i="3"/>
  <c r="B37" i="3"/>
  <c r="C37" i="3" s="1"/>
  <c r="B38" i="3"/>
  <c r="C38" i="3" s="1"/>
  <c r="B39" i="3"/>
  <c r="C39" i="3" s="1"/>
  <c r="B40" i="3"/>
  <c r="B41" i="3"/>
  <c r="C41" i="3" s="1"/>
  <c r="B42" i="3"/>
  <c r="C42" i="3" s="1"/>
  <c r="B43" i="3"/>
  <c r="C43" i="3" s="1"/>
  <c r="B44" i="3"/>
  <c r="B45" i="3"/>
  <c r="C45" i="3" s="1"/>
  <c r="B46" i="3"/>
  <c r="C46" i="3" s="1"/>
  <c r="B47" i="3"/>
  <c r="C47" i="3" s="1"/>
  <c r="B48" i="3"/>
  <c r="B49" i="3"/>
  <c r="C49" i="3" s="1"/>
  <c r="B50" i="3"/>
  <c r="C50" i="3" s="1"/>
  <c r="B51" i="3"/>
  <c r="C51" i="3" s="1"/>
  <c r="B52" i="3"/>
  <c r="B53" i="3"/>
  <c r="C53" i="3" s="1"/>
  <c r="B54" i="3"/>
  <c r="C54" i="3" s="1"/>
  <c r="B55" i="3"/>
  <c r="C55" i="3" s="1"/>
  <c r="B56" i="3"/>
  <c r="B57" i="3"/>
  <c r="C57" i="3" s="1"/>
  <c r="B58" i="3"/>
  <c r="C58" i="3" s="1"/>
  <c r="B59" i="3"/>
  <c r="C59" i="3" s="1"/>
  <c r="B60" i="3"/>
  <c r="B61" i="3"/>
  <c r="C61" i="3" s="1"/>
  <c r="B62" i="3"/>
  <c r="C62" i="3" s="1"/>
  <c r="B63" i="3"/>
  <c r="C63" i="3" s="1"/>
  <c r="B64" i="3"/>
  <c r="B65" i="3"/>
  <c r="C65" i="3" s="1"/>
  <c r="B66" i="3"/>
  <c r="C66" i="3" s="1"/>
  <c r="B67" i="3"/>
  <c r="C67" i="3" s="1"/>
  <c r="B68" i="3"/>
  <c r="B69" i="3"/>
  <c r="C69" i="3" s="1"/>
  <c r="B70" i="3"/>
  <c r="C70" i="3" s="1"/>
  <c r="B71" i="3"/>
  <c r="C71" i="3" s="1"/>
  <c r="B72" i="3"/>
  <c r="B73" i="3"/>
  <c r="C73" i="3" s="1"/>
  <c r="B74" i="3"/>
  <c r="C74" i="3" s="1"/>
  <c r="B75" i="3"/>
  <c r="C75" i="3" s="1"/>
  <c r="B76" i="3"/>
  <c r="B77" i="3"/>
  <c r="C77" i="3" s="1"/>
  <c r="B78" i="3"/>
  <c r="C78" i="3" s="1"/>
  <c r="B79" i="3"/>
  <c r="C79" i="3" s="1"/>
  <c r="B80" i="3"/>
  <c r="B81" i="3"/>
  <c r="C81" i="3" s="1"/>
  <c r="B82" i="3"/>
  <c r="C82" i="3" s="1"/>
  <c r="B83" i="3"/>
  <c r="C83" i="3" s="1"/>
  <c r="B84" i="3"/>
  <c r="B85" i="3"/>
  <c r="C85" i="3" s="1"/>
  <c r="B86" i="3"/>
  <c r="C86" i="3" s="1"/>
  <c r="B87" i="3"/>
  <c r="C87" i="3" s="1"/>
  <c r="B88" i="3"/>
  <c r="B89" i="3"/>
  <c r="C89" i="3" s="1"/>
  <c r="B90" i="3"/>
  <c r="C90" i="3" s="1"/>
  <c r="B91" i="3"/>
  <c r="C91" i="3" s="1"/>
  <c r="B92" i="3"/>
  <c r="B93" i="3"/>
  <c r="C93" i="3" s="1"/>
  <c r="B94" i="3"/>
  <c r="C94" i="3" s="1"/>
  <c r="B95" i="3"/>
  <c r="C95" i="3" s="1"/>
  <c r="B96" i="3"/>
  <c r="B97" i="3"/>
  <c r="C97" i="3" s="1"/>
  <c r="B98" i="3"/>
  <c r="C98" i="3" s="1"/>
  <c r="B99" i="3"/>
  <c r="C99" i="3" s="1"/>
  <c r="B100" i="3"/>
  <c r="B101" i="3"/>
  <c r="C101" i="3" s="1"/>
  <c r="C33" i="2"/>
  <c r="C65" i="2"/>
  <c r="C97" i="2"/>
  <c r="B2" i="2"/>
  <c r="C2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B98" i="2"/>
  <c r="C98" i="2" s="1"/>
  <c r="B99" i="2"/>
  <c r="C99" i="2" s="1"/>
  <c r="B100" i="2"/>
  <c r="C100" i="2" s="1"/>
  <c r="B101" i="2"/>
  <c r="C101" i="2" s="1"/>
  <c r="B102" i="2"/>
  <c r="C102" i="2" s="1"/>
  <c r="G2" i="1"/>
  <c r="H2" i="1" s="1"/>
  <c r="C11" i="1" l="1"/>
  <c r="J5" i="1"/>
  <c r="K5" i="1" s="1"/>
  <c r="M5" i="1"/>
  <c r="M2" i="1"/>
  <c r="N2" i="1" s="1"/>
  <c r="M3" i="1"/>
  <c r="N3" i="1" s="1"/>
  <c r="M4" i="1"/>
  <c r="M6" i="1"/>
  <c r="N6" i="1" s="1"/>
  <c r="G6" i="1"/>
  <c r="C27" i="1"/>
  <c r="K22" i="1"/>
  <c r="L22" i="1" s="1"/>
  <c r="N4" i="1"/>
  <c r="H16" i="1"/>
  <c r="O22" i="1"/>
  <c r="P22" i="1" s="1"/>
  <c r="G22" i="1"/>
  <c r="H22" i="1" s="1"/>
  <c r="N5" i="1"/>
  <c r="J2" i="1"/>
  <c r="K2" i="1" s="1"/>
  <c r="J6" i="1"/>
  <c r="K6" i="1" s="1"/>
  <c r="J4" i="1"/>
  <c r="K4" i="1" s="1"/>
  <c r="C15" i="1"/>
  <c r="F24" i="1" s="1"/>
  <c r="J3" i="1"/>
  <c r="K3" i="1" s="1"/>
  <c r="H6" i="1"/>
  <c r="G5" i="1"/>
  <c r="H5" i="1" s="1"/>
  <c r="G3" i="1"/>
  <c r="H3" i="1" s="1"/>
  <c r="G4" i="1"/>
  <c r="H4" i="1" s="1"/>
  <c r="G39" i="5"/>
  <c r="G38" i="5"/>
  <c r="G37" i="5"/>
  <c r="U8" i="5"/>
  <c r="U6" i="5"/>
  <c r="C5" i="1"/>
  <c r="D5" i="1"/>
  <c r="D15" i="1"/>
  <c r="H24" i="1" s="1"/>
  <c r="B5" i="1"/>
  <c r="F9" i="1" l="1"/>
  <c r="G9" i="1" s="1"/>
  <c r="H9" i="1" s="1"/>
  <c r="I9" i="1" s="1"/>
  <c r="J9" i="1"/>
  <c r="K9" i="1" s="1"/>
  <c r="L9" i="1" s="1"/>
  <c r="D11" i="1"/>
  <c r="C26" i="1"/>
  <c r="C22" i="1"/>
  <c r="C16" i="1"/>
  <c r="C20" i="1"/>
  <c r="D27" i="1"/>
  <c r="C21" i="1"/>
  <c r="C23" i="1"/>
  <c r="C18" i="1"/>
  <c r="Q22" i="1"/>
  <c r="I22" i="1"/>
  <c r="C17" i="1"/>
  <c r="C25" i="1"/>
  <c r="C24" i="1"/>
  <c r="C19" i="1"/>
  <c r="D23" i="1"/>
  <c r="D20" i="1"/>
  <c r="D17" i="1"/>
  <c r="D26" i="1"/>
  <c r="D22" i="1"/>
  <c r="D16" i="1"/>
  <c r="D19" i="1"/>
  <c r="D25" i="1"/>
  <c r="D21" i="1"/>
  <c r="D24" i="1"/>
  <c r="D18" i="1"/>
  <c r="G24" i="1" l="1"/>
  <c r="J12" i="1"/>
  <c r="K12" i="1" s="1"/>
  <c r="L12" i="1" s="1"/>
  <c r="I27" i="1" s="1"/>
  <c r="H27" i="1"/>
  <c r="J11" i="1"/>
  <c r="K11" i="1" s="1"/>
  <c r="L11" i="1" s="1"/>
  <c r="M11" i="1" s="1"/>
  <c r="H26" i="1"/>
  <c r="H36" i="1"/>
  <c r="J21" i="1"/>
  <c r="K21" i="1" s="1"/>
  <c r="L21" i="1" s="1"/>
  <c r="J18" i="1"/>
  <c r="K18" i="1" s="1"/>
  <c r="L18" i="1" s="1"/>
  <c r="H33" i="1"/>
  <c r="H29" i="1"/>
  <c r="J14" i="1"/>
  <c r="K14" i="1" s="1"/>
  <c r="L14" i="1" s="1"/>
  <c r="I29" i="1" s="1"/>
  <c r="H30" i="1"/>
  <c r="J15" i="1"/>
  <c r="K15" i="1" s="1"/>
  <c r="L15" i="1" s="1"/>
  <c r="M15" i="1" s="1"/>
  <c r="H32" i="1"/>
  <c r="J17" i="1"/>
  <c r="K17" i="1" s="1"/>
  <c r="L17" i="1" s="1"/>
  <c r="M17" i="1" s="1"/>
  <c r="J19" i="1"/>
  <c r="K19" i="1" s="1"/>
  <c r="L19" i="1" s="1"/>
  <c r="H34" i="1"/>
  <c r="H28" i="1"/>
  <c r="J13" i="1"/>
  <c r="K13" i="1" s="1"/>
  <c r="L13" i="1" s="1"/>
  <c r="H25" i="1"/>
  <c r="J10" i="1"/>
  <c r="K10" i="1" s="1"/>
  <c r="L10" i="1" s="1"/>
  <c r="H31" i="1"/>
  <c r="J16" i="1"/>
  <c r="K16" i="1" s="1"/>
  <c r="L16" i="1" s="1"/>
  <c r="J20" i="1"/>
  <c r="K20" i="1" s="1"/>
  <c r="L20" i="1" s="1"/>
  <c r="H35" i="1"/>
  <c r="F14" i="1"/>
  <c r="F29" i="1"/>
  <c r="F13" i="1"/>
  <c r="F28" i="1"/>
  <c r="F25" i="1"/>
  <c r="F10" i="1"/>
  <c r="F33" i="1"/>
  <c r="F18" i="1"/>
  <c r="F16" i="1"/>
  <c r="I16" i="1" s="1"/>
  <c r="F31" i="1"/>
  <c r="F34" i="1"/>
  <c r="F19" i="1"/>
  <c r="F35" i="1"/>
  <c r="F20" i="1"/>
  <c r="F36" i="1"/>
  <c r="F21" i="1"/>
  <c r="F27" i="1"/>
  <c r="F12" i="1"/>
  <c r="F26" i="1"/>
  <c r="F11" i="1"/>
  <c r="F32" i="1"/>
  <c r="F17" i="1"/>
  <c r="F15" i="1"/>
  <c r="F30" i="1"/>
  <c r="E16" i="1"/>
  <c r="E15" i="1"/>
  <c r="E20" i="1"/>
  <c r="E22" i="1"/>
  <c r="E21" i="1"/>
  <c r="E17" i="1"/>
  <c r="E27" i="1"/>
  <c r="E25" i="1"/>
  <c r="E18" i="1"/>
  <c r="E24" i="1"/>
  <c r="E23" i="1"/>
  <c r="E19" i="1"/>
  <c r="E26" i="1"/>
  <c r="K37" i="1"/>
  <c r="G37" i="1"/>
  <c r="I37" i="1"/>
  <c r="M22" i="1"/>
  <c r="I30" i="1" l="1"/>
  <c r="M12" i="1"/>
  <c r="G31" i="1"/>
  <c r="I26" i="1"/>
  <c r="M14" i="1"/>
  <c r="N21" i="1"/>
  <c r="J36" i="1"/>
  <c r="J26" i="1"/>
  <c r="N11" i="1"/>
  <c r="N20" i="1"/>
  <c r="J35" i="1"/>
  <c r="N15" i="1"/>
  <c r="J30" i="1"/>
  <c r="N13" i="1"/>
  <c r="J28" i="1"/>
  <c r="N16" i="1"/>
  <c r="J31" i="1"/>
  <c r="J32" i="1"/>
  <c r="N17" i="1"/>
  <c r="J29" i="1"/>
  <c r="N14" i="1"/>
  <c r="J33" i="1"/>
  <c r="N18" i="1"/>
  <c r="N9" i="1"/>
  <c r="J24" i="1"/>
  <c r="N12" i="1"/>
  <c r="J27" i="1"/>
  <c r="J25" i="1"/>
  <c r="N10" i="1"/>
  <c r="N19" i="1"/>
  <c r="J34" i="1"/>
  <c r="I35" i="1"/>
  <c r="M21" i="1"/>
  <c r="I36" i="1"/>
  <c r="I33" i="1"/>
  <c r="I25" i="1"/>
  <c r="I31" i="1"/>
  <c r="M18" i="1"/>
  <c r="M10" i="1"/>
  <c r="M16" i="1"/>
  <c r="I34" i="1"/>
  <c r="I28" i="1"/>
  <c r="G21" i="1"/>
  <c r="H21" i="1" s="1"/>
  <c r="G36" i="1" s="1"/>
  <c r="I21" i="1"/>
  <c r="G18" i="1"/>
  <c r="H18" i="1" s="1"/>
  <c r="I18" i="1" s="1"/>
  <c r="G15" i="1"/>
  <c r="H15" i="1" s="1"/>
  <c r="I15" i="1" s="1"/>
  <c r="G17" i="1"/>
  <c r="H17" i="1" s="1"/>
  <c r="G32" i="1" s="1"/>
  <c r="G20" i="1"/>
  <c r="H20" i="1" s="1"/>
  <c r="G35" i="1" s="1"/>
  <c r="G10" i="1"/>
  <c r="H10" i="1" s="1"/>
  <c r="G25" i="1" s="1"/>
  <c r="G11" i="1"/>
  <c r="H11" i="1" s="1"/>
  <c r="I11" i="1" s="1"/>
  <c r="G19" i="1"/>
  <c r="H19" i="1" s="1"/>
  <c r="G34" i="1" s="1"/>
  <c r="G13" i="1"/>
  <c r="H13" i="1" s="1"/>
  <c r="G28" i="1" s="1"/>
  <c r="G12" i="1"/>
  <c r="H12" i="1" s="1"/>
  <c r="G27" i="1" s="1"/>
  <c r="G14" i="1"/>
  <c r="H14" i="1" s="1"/>
  <c r="G29" i="1" s="1"/>
  <c r="I14" i="1"/>
  <c r="M20" i="1"/>
  <c r="M13" i="1"/>
  <c r="M19" i="1"/>
  <c r="I32" i="1"/>
  <c r="I24" i="1"/>
  <c r="I13" i="1" l="1"/>
  <c r="I10" i="1"/>
  <c r="G33" i="1"/>
  <c r="O10" i="1"/>
  <c r="P10" i="1" s="1"/>
  <c r="K25" i="1" s="1"/>
  <c r="Q10" i="1"/>
  <c r="O14" i="1"/>
  <c r="P14" i="1" s="1"/>
  <c r="K29" i="1" s="1"/>
  <c r="O15" i="1"/>
  <c r="P15" i="1" s="1"/>
  <c r="K30" i="1" s="1"/>
  <c r="O17" i="1"/>
  <c r="P17" i="1" s="1"/>
  <c r="K32" i="1" s="1"/>
  <c r="O12" i="1"/>
  <c r="P12" i="1" s="1"/>
  <c r="Q12" i="1" s="1"/>
  <c r="K27" i="1"/>
  <c r="O20" i="1"/>
  <c r="P20" i="1" s="1"/>
  <c r="Q20" i="1" s="1"/>
  <c r="O11" i="1"/>
  <c r="P11" i="1" s="1"/>
  <c r="K26" i="1" s="1"/>
  <c r="O9" i="1"/>
  <c r="P9" i="1" s="1"/>
  <c r="K24" i="1" s="1"/>
  <c r="Q9" i="1"/>
  <c r="O16" i="1"/>
  <c r="P16" i="1" s="1"/>
  <c r="Q16" i="1" s="1"/>
  <c r="K31" i="1"/>
  <c r="O18" i="1"/>
  <c r="P18" i="1" s="1"/>
  <c r="Q18" i="1" s="1"/>
  <c r="O19" i="1"/>
  <c r="P19" i="1" s="1"/>
  <c r="K34" i="1" s="1"/>
  <c r="O13" i="1"/>
  <c r="P13" i="1" s="1"/>
  <c r="K28" i="1" s="1"/>
  <c r="O21" i="1"/>
  <c r="P21" i="1" s="1"/>
  <c r="Q21" i="1"/>
  <c r="K36" i="1"/>
  <c r="G30" i="1"/>
  <c r="I20" i="1"/>
  <c r="I19" i="1"/>
  <c r="I17" i="1"/>
  <c r="I12" i="1"/>
  <c r="G26" i="1"/>
  <c r="M9" i="1"/>
  <c r="Q14" i="1" l="1"/>
  <c r="Q11" i="1"/>
  <c r="K33" i="1"/>
  <c r="Q17" i="1"/>
  <c r="Q19" i="1"/>
  <c r="Q15" i="1"/>
  <c r="Q13" i="1"/>
  <c r="K35" i="1"/>
</calcChain>
</file>

<file path=xl/sharedStrings.xml><?xml version="1.0" encoding="utf-8"?>
<sst xmlns="http://schemas.openxmlformats.org/spreadsheetml/2006/main" count="94" uniqueCount="54">
  <si>
    <t>Confiabilidade</t>
  </si>
  <si>
    <t>Tempo</t>
  </si>
  <si>
    <t>Intervalo</t>
  </si>
  <si>
    <t>Disponibilidade</t>
  </si>
  <si>
    <t>Tm</t>
  </si>
  <si>
    <t>Tr</t>
  </si>
  <si>
    <t>MTTF</t>
  </si>
  <si>
    <t>Distri. 8</t>
  </si>
  <si>
    <t>Distri. 9</t>
  </si>
  <si>
    <t>Distri. 10</t>
  </si>
  <si>
    <t>Dados</t>
  </si>
  <si>
    <t>C. manuteção</t>
  </si>
  <si>
    <t>C. reparo</t>
  </si>
  <si>
    <t>C. incidente</t>
  </si>
  <si>
    <t>Tempo serviço</t>
  </si>
  <si>
    <t>Custo</t>
  </si>
  <si>
    <t>Restrição</t>
  </si>
  <si>
    <t>Tempo de execução</t>
  </si>
  <si>
    <t>Distribuição</t>
  </si>
  <si>
    <t>Parâmetro</t>
  </si>
  <si>
    <t>N° de iterações</t>
  </si>
  <si>
    <t>N° de particulas</t>
  </si>
  <si>
    <t>Tolerância</t>
  </si>
  <si>
    <t>Espaço de busca</t>
  </si>
  <si>
    <t>PSO w; c1, c2</t>
  </si>
  <si>
    <t>Custo mínimo</t>
  </si>
  <si>
    <t>mu</t>
  </si>
  <si>
    <t>sigma</t>
  </si>
  <si>
    <t>z</t>
  </si>
  <si>
    <t>z2</t>
  </si>
  <si>
    <t>z3</t>
  </si>
  <si>
    <t>Tempo 1</t>
  </si>
  <si>
    <t>Confiabilidade 1</t>
  </si>
  <si>
    <t>Tempo 2</t>
  </si>
  <si>
    <t>Confiabilidade 2</t>
  </si>
  <si>
    <t>Tempo 3</t>
  </si>
  <si>
    <t>Confiabilidade 3</t>
  </si>
  <si>
    <t>Intervalo 1</t>
  </si>
  <si>
    <t>Custos 1</t>
  </si>
  <si>
    <t>Intervalo 2</t>
  </si>
  <si>
    <t>Custos 2</t>
  </si>
  <si>
    <t>Intervalo 3</t>
  </si>
  <si>
    <t>Custos 3</t>
  </si>
  <si>
    <t>Disponibilidade 1</t>
  </si>
  <si>
    <t>Disponibilidade 2</t>
  </si>
  <si>
    <t>Disponibilidade 3</t>
  </si>
  <si>
    <t>Criação dos intervalos de tempo</t>
  </si>
  <si>
    <t>Distribuição 4319  - Restrito por disponibilidade</t>
  </si>
  <si>
    <t>Distribuição 4095  - Restrito por disponibilidade</t>
  </si>
  <si>
    <t>Distribuição 1890  - Restrito por disponibilidade</t>
  </si>
  <si>
    <t>Distribuição 4319, 4095, 1890  - Restrito por confiabilidade 0.95</t>
  </si>
  <si>
    <t>Distribuição 4319</t>
  </si>
  <si>
    <t>Distribuição 4094</t>
  </si>
  <si>
    <t>Distribuição 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</si>
</sst>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6" formatCode="#,##0.0000"/>
    <numFmt numFmtId="167" formatCode="0.000000000"/>
    <numFmt numFmtId="168" formatCode="_-[$R$-416]\ * #,##0.00_-;\-[$R$-416]\ * #,##0.00_-;_-[$R$-416]\ * &quot;-&quot;??_-;_-@_-"/>
    <numFmt numFmtId="169" formatCode="0.0000%"/>
    <numFmt numFmtId="173" formatCode="0.00000"/>
    <numFmt numFmtId="175" formatCode="0.0000000"/>
    <numFmt numFmtId="176" formatCode="0.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Fill="1"/>
    <xf numFmtId="166" fontId="3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6" fontId="3" fillId="0" borderId="0" xfId="0" applyNumberFormat="1" applyFont="1" applyFill="1" applyAlignment="1">
      <alignment horizontal="center" vertical="center" wrapText="1"/>
    </xf>
    <xf numFmtId="166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0" fillId="0" borderId="0" xfId="1" applyNumberFormat="1" applyFont="1" applyFill="1"/>
    <xf numFmtId="168" fontId="0" fillId="0" borderId="0" xfId="0" applyNumberFormat="1" applyFill="1"/>
    <xf numFmtId="0" fontId="0" fillId="0" borderId="0" xfId="0" applyFill="1" applyBorder="1"/>
    <xf numFmtId="0" fontId="0" fillId="0" borderId="3" xfId="0" applyFont="1" applyBorder="1"/>
    <xf numFmtId="0" fontId="0" fillId="5" borderId="2" xfId="0" applyFont="1" applyFill="1" applyBorder="1"/>
    <xf numFmtId="0" fontId="0" fillId="0" borderId="2" xfId="0" applyFont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4" xfId="0" applyFont="1" applyFill="1" applyBorder="1"/>
    <xf numFmtId="0" fontId="0" fillId="0" borderId="4" xfId="0" applyFont="1" applyBorder="1"/>
    <xf numFmtId="164" fontId="0" fillId="0" borderId="0" xfId="0" applyNumberFormat="1"/>
    <xf numFmtId="0" fontId="0" fillId="0" borderId="0" xfId="0" applyFont="1"/>
    <xf numFmtId="0" fontId="5" fillId="0" borderId="0" xfId="0" applyFont="1" applyFill="1" applyAlignment="1"/>
    <xf numFmtId="164" fontId="0" fillId="0" borderId="3" xfId="0" applyNumberFormat="1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11" fontId="0" fillId="0" borderId="0" xfId="0" applyNumberFormat="1"/>
    <xf numFmtId="3" fontId="0" fillId="0" borderId="0" xfId="0" applyNumberFormat="1"/>
    <xf numFmtId="9" fontId="0" fillId="0" borderId="0" xfId="1" applyFont="1"/>
    <xf numFmtId="0" fontId="4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4" fontId="0" fillId="0" borderId="0" xfId="0" applyNumberFormat="1" applyFill="1" applyBorder="1"/>
    <xf numFmtId="0" fontId="5" fillId="6" borderId="0" xfId="0" applyFont="1" applyFill="1" applyAlignment="1">
      <alignment horizontal="center"/>
    </xf>
    <xf numFmtId="0" fontId="4" fillId="0" borderId="0" xfId="0" applyNumberFormat="1" applyFont="1" applyFill="1" applyAlignment="1"/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/>
    <xf numFmtId="0" fontId="0" fillId="7" borderId="0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173" fontId="0" fillId="0" borderId="0" xfId="0" applyNumberFormat="1"/>
    <xf numFmtId="175" fontId="0" fillId="0" borderId="0" xfId="0" applyNumberFormat="1"/>
    <xf numFmtId="176" fontId="0" fillId="0" borderId="0" xfId="0" applyNumberFormat="1"/>
    <xf numFmtId="9" fontId="0" fillId="0" borderId="0" xfId="0" applyNumberFormat="1"/>
    <xf numFmtId="175" fontId="0" fillId="0" borderId="0" xfId="0" applyNumberFormat="1" applyFont="1"/>
    <xf numFmtId="169" fontId="0" fillId="0" borderId="0" xfId="1" applyNumberFormat="1" applyFont="1" applyFill="1" applyBorder="1"/>
    <xf numFmtId="0" fontId="0" fillId="0" borderId="0" xfId="1" applyNumberFormat="1" applyFont="1" applyFill="1" applyBorder="1"/>
  </cellXfs>
  <cellStyles count="2">
    <cellStyle name="Normal" xfId="0" builtinId="0"/>
    <cellStyle name="Porcentagem" xfId="1" builtinId="5"/>
  </cellStyles>
  <dxfs count="52"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64" formatCode="0.0000"/>
    </dxf>
    <dxf>
      <numFmt numFmtId="175" formatCode="0.0000000"/>
    </dxf>
    <dxf>
      <numFmt numFmtId="175" formatCode="0.0000000"/>
    </dxf>
    <dxf>
      <numFmt numFmtId="175" formatCode="0.0000000"/>
    </dxf>
    <dxf>
      <numFmt numFmtId="175" formatCode="0.0000000"/>
    </dxf>
    <dxf>
      <numFmt numFmtId="173" formatCode="0.00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alignment horizontal="center" vertical="center" textRotation="0" wrapText="1" indent="0" justifyLastLine="0" shrinkToFit="0" readingOrder="0"/>
    </dxf>
    <dxf>
      <numFmt numFmtId="167" formatCode="0.000000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.000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numFmt numFmtId="168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8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8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Distribuição 4319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'Custo e Disponibilidade'!$I$8</c:f>
              <c:strCache>
                <c:ptCount val="1"/>
                <c:pt idx="0">
                  <c:v>Custos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'Custo e Disponibilidade'!$F$9:$F$21</c:f>
              <c:numCache>
                <c:formatCode>General</c:formatCode>
                <c:ptCount val="13"/>
                <c:pt idx="0">
                  <c:v>63.607054503366015</c:v>
                </c:pt>
                <c:pt idx="1">
                  <c:v>127.21410900673203</c:v>
                </c:pt>
                <c:pt idx="2">
                  <c:v>190.82116351009805</c:v>
                </c:pt>
                <c:pt idx="3">
                  <c:v>254.42821801346406</c:v>
                </c:pt>
                <c:pt idx="4">
                  <c:v>318.03527251683005</c:v>
                </c:pt>
                <c:pt idx="5">
                  <c:v>381.64232702019609</c:v>
                </c:pt>
                <c:pt idx="6">
                  <c:v>445.24938152356202</c:v>
                </c:pt>
                <c:pt idx="7">
                  <c:v>508.85643602692812</c:v>
                </c:pt>
                <c:pt idx="8">
                  <c:v>572.46349053029405</c:v>
                </c:pt>
                <c:pt idx="9">
                  <c:v>636.0705450336601</c:v>
                </c:pt>
                <c:pt idx="10">
                  <c:v>699.67759953702614</c:v>
                </c:pt>
                <c:pt idx="11">
                  <c:v>763.28465404039218</c:v>
                </c:pt>
                <c:pt idx="12">
                  <c:v>826.89170854375811</c:v>
                </c:pt>
              </c:numCache>
            </c:numRef>
          </c:xVal>
          <c:yVal>
            <c:numRef>
              <c:f>'Custo e Disponibilidade'!$I$9:$I$21</c:f>
              <c:numCache>
                <c:formatCode>_-[$R$-416]\ * #,##0.00_-;\-[$R$-416]\ * #,##0.00_-;_-[$R$-416]\ * "-"??_-;_-@_-</c:formatCode>
                <c:ptCount val="13"/>
                <c:pt idx="0">
                  <c:v>1377402.82937566</c:v>
                </c:pt>
                <c:pt idx="1">
                  <c:v>717199.8056920541</c:v>
                </c:pt>
                <c:pt idx="2">
                  <c:v>653451.05967196426</c:v>
                </c:pt>
                <c:pt idx="3">
                  <c:v>860615.46708924696</c:v>
                </c:pt>
                <c:pt idx="4">
                  <c:v>1181364.9529357615</c:v>
                </c:pt>
                <c:pt idx="5">
                  <c:v>1510614.2532608339</c:v>
                </c:pt>
                <c:pt idx="6">
                  <c:v>1795896.0155964338</c:v>
                </c:pt>
                <c:pt idx="7">
                  <c:v>1655385.5094691541</c:v>
                </c:pt>
                <c:pt idx="8">
                  <c:v>2194601.9366093171</c:v>
                </c:pt>
                <c:pt idx="9">
                  <c:v>2321646.7116637793</c:v>
                </c:pt>
                <c:pt idx="10">
                  <c:v>2413995.6746294051</c:v>
                </c:pt>
                <c:pt idx="11">
                  <c:v>2480529.3093379056</c:v>
                </c:pt>
                <c:pt idx="12">
                  <c:v>2528258.1869932213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F6-4B2A-B949-DD7BBB575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118463"/>
        <c:axId val="1510119295"/>
      </c:scatterChart>
      <c:valAx>
        <c:axId val="15101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da</a:t>
                </a:r>
                <a:r>
                  <a:rPr lang="pt-BR" baseline="0"/>
                  <a:t> MP [h]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119295"/>
        <c:crosses val="autoZero"/>
        <c:crossBetween val="midCat"/>
      </c:valAx>
      <c:valAx>
        <c:axId val="15101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de operação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_-;\-[$R$-416]\ * #,##0.0_-;_-[$R$-416]\ * &quot;-&quot;?_-;_-@_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118463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Distribuição 4095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'Custo e Disponibilidade'!$M$8</c:f>
              <c:strCache>
                <c:ptCount val="1"/>
                <c:pt idx="0">
                  <c:v>Custos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'Custo e Disponibilidade'!$J$9:$J$21</c:f>
              <c:numCache>
                <c:formatCode>General</c:formatCode>
                <c:ptCount val="13"/>
                <c:pt idx="0">
                  <c:v>3.7251222685425449</c:v>
                </c:pt>
                <c:pt idx="1">
                  <c:v>7.4502445370850898</c:v>
                </c:pt>
                <c:pt idx="2">
                  <c:v>11.175366805627634</c:v>
                </c:pt>
                <c:pt idx="3">
                  <c:v>14.90048907417018</c:v>
                </c:pt>
                <c:pt idx="4">
                  <c:v>18.625611342712723</c:v>
                </c:pt>
                <c:pt idx="5">
                  <c:v>22.350733611255269</c:v>
                </c:pt>
                <c:pt idx="6">
                  <c:v>26.07585587979781</c:v>
                </c:pt>
                <c:pt idx="7">
                  <c:v>29.800978148340359</c:v>
                </c:pt>
                <c:pt idx="8">
                  <c:v>33.526100416882898</c:v>
                </c:pt>
                <c:pt idx="9">
                  <c:v>37.251222685425446</c:v>
                </c:pt>
                <c:pt idx="10">
                  <c:v>40.976344953967988</c:v>
                </c:pt>
                <c:pt idx="11">
                  <c:v>44.701467222510537</c:v>
                </c:pt>
                <c:pt idx="12">
                  <c:v>48.426589491053079</c:v>
                </c:pt>
              </c:numCache>
            </c:numRef>
          </c:xVal>
          <c:yVal>
            <c:numRef>
              <c:f>'Custo e Disponibilidade'!$M$9:$M$21</c:f>
              <c:numCache>
                <c:formatCode>_-[$R$-416]\ * #,##0.00_-;\-[$R$-416]\ * #,##0.00_-;_-[$R$-416]\ * "-"??_-;_-@_-</c:formatCode>
                <c:ptCount val="13"/>
                <c:pt idx="0">
                  <c:v>23516006.639501132</c:v>
                </c:pt>
                <c:pt idx="1">
                  <c:v>11758003.32761728</c:v>
                </c:pt>
                <c:pt idx="2">
                  <c:v>7839579.214983142</c:v>
                </c:pt>
                <c:pt idx="3">
                  <c:v>6103893.1564775482</c:v>
                </c:pt>
                <c:pt idx="4">
                  <c:v>8288337.6490419861</c:v>
                </c:pt>
                <c:pt idx="5">
                  <c:v>18080930.914371315</c:v>
                </c:pt>
                <c:pt idx="6">
                  <c:v>30191891.137870356</c:v>
                </c:pt>
                <c:pt idx="7">
                  <c:v>37892214.481662966</c:v>
                </c:pt>
                <c:pt idx="8">
                  <c:v>41111612.577542312</c:v>
                </c:pt>
                <c:pt idx="9">
                  <c:v>42125487.358077094</c:v>
                </c:pt>
                <c:pt idx="10">
                  <c:v>42388691.668201789</c:v>
                </c:pt>
                <c:pt idx="11">
                  <c:v>42448600.999904826</c:v>
                </c:pt>
                <c:pt idx="12">
                  <c:v>42461076.272481166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A-4E71-9431-38B40655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328159"/>
        <c:axId val="1534330239"/>
      </c:scatterChart>
      <c:valAx>
        <c:axId val="15343281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</a:t>
                </a:r>
                <a:r>
                  <a:rPr lang="pt-BR" baseline="0"/>
                  <a:t> da MP [h]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330239"/>
        <c:crosses val="autoZero"/>
        <c:crossBetween val="midCat"/>
      </c:valAx>
      <c:valAx>
        <c:axId val="15343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</a:t>
                </a:r>
                <a:r>
                  <a:rPr lang="pt-BR" baseline="0"/>
                  <a:t> de operação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_-;\-[$R$-416]\ * #,##0_-;_-[$R$-416]\ * &quot;-&quot;_-;_-@_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328159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Distribuição 1890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'Custo e Disponibilidade'!$Q$8</c:f>
              <c:strCache>
                <c:ptCount val="1"/>
                <c:pt idx="0">
                  <c:v>Custos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'Custo e Disponibilidade'!$N$9:$N$22</c:f>
              <c:numCache>
                <c:formatCode>General</c:formatCode>
                <c:ptCount val="14"/>
                <c:pt idx="0">
                  <c:v>39.509041937147288</c:v>
                </c:pt>
                <c:pt idx="1">
                  <c:v>79.018083874294575</c:v>
                </c:pt>
                <c:pt idx="2">
                  <c:v>118.52712581144186</c:v>
                </c:pt>
                <c:pt idx="3">
                  <c:v>158.03616774858915</c:v>
                </c:pt>
                <c:pt idx="4">
                  <c:v>197.54520968573644</c:v>
                </c:pt>
                <c:pt idx="5">
                  <c:v>237.05425162288373</c:v>
                </c:pt>
                <c:pt idx="6">
                  <c:v>276.56329356003096</c:v>
                </c:pt>
                <c:pt idx="7">
                  <c:v>316.0723354971783</c:v>
                </c:pt>
                <c:pt idx="8">
                  <c:v>355.58137743432553</c:v>
                </c:pt>
                <c:pt idx="9">
                  <c:v>395.09041937147288</c:v>
                </c:pt>
                <c:pt idx="10">
                  <c:v>434.59946130862011</c:v>
                </c:pt>
                <c:pt idx="11">
                  <c:v>474.10850324576745</c:v>
                </c:pt>
                <c:pt idx="12">
                  <c:v>513.61754518291468</c:v>
                </c:pt>
                <c:pt idx="13">
                  <c:v>9650</c:v>
                </c:pt>
              </c:numCache>
            </c:numRef>
          </c:xVal>
          <c:yVal>
            <c:numRef>
              <c:f>'Custo e Disponibilidade'!$Q$9:$Q$21</c:f>
              <c:numCache>
                <c:formatCode>_-[$R$-416]\ * #,##0.00_-;\-[$R$-416]\ * #,##0.00_-;_-[$R$-416]\ * "-"??_-;_-@_-</c:formatCode>
                <c:ptCount val="13"/>
                <c:pt idx="0">
                  <c:v>2217213.9769766605</c:v>
                </c:pt>
                <c:pt idx="1">
                  <c:v>1108606.9884883303</c:v>
                </c:pt>
                <c:pt idx="2">
                  <c:v>739071.32565888681</c:v>
                </c:pt>
                <c:pt idx="3">
                  <c:v>554303.49424416595</c:v>
                </c:pt>
                <c:pt idx="4">
                  <c:v>443465.1867836832</c:v>
                </c:pt>
                <c:pt idx="5">
                  <c:v>729833.49585624051</c:v>
                </c:pt>
                <c:pt idx="6">
                  <c:v>3783104.6269368231</c:v>
                </c:pt>
                <c:pt idx="7">
                  <c:v>4174915.1580987871</c:v>
                </c:pt>
                <c:pt idx="8">
                  <c:v>4175770.4821346239</c:v>
                </c:pt>
                <c:pt idx="9">
                  <c:v>4175770.5578618157</c:v>
                </c:pt>
                <c:pt idx="10">
                  <c:v>4175770.5578625263</c:v>
                </c:pt>
                <c:pt idx="11">
                  <c:v>4175770.5578625263</c:v>
                </c:pt>
                <c:pt idx="12">
                  <c:v>4175770.5578625263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53-462E-9CF8-380C9585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491199"/>
        <c:axId val="1418494111"/>
      </c:scatterChart>
      <c:valAx>
        <c:axId val="1418491199"/>
        <c:scaling>
          <c:orientation val="minMax"/>
          <c:max val="5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da MP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8494111"/>
        <c:crosses val="autoZero"/>
        <c:crossBetween val="midCat"/>
      </c:valAx>
      <c:valAx>
        <c:axId val="14184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de operação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_-;\-[$R$-416]\ * #,##0.0_-;_-[$R$-416]\ * &quot;-&quot;?_-;_-@_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8491199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</a:t>
            </a:r>
            <a:r>
              <a:rPr lang="en-US" sz="1400" b="0" i="0" u="none" strike="noStrike" baseline="0">
                <a:effectLst/>
              </a:rPr>
              <a:t>istribuição 4319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 e Disponibilidade'!$F$24:$F$36</c:f>
              <c:numCache>
                <c:formatCode>General</c:formatCode>
                <c:ptCount val="13"/>
                <c:pt idx="0">
                  <c:v>63.607054503366015</c:v>
                </c:pt>
                <c:pt idx="1">
                  <c:v>127.21410900673203</c:v>
                </c:pt>
                <c:pt idx="2">
                  <c:v>190.82116351009805</c:v>
                </c:pt>
                <c:pt idx="3">
                  <c:v>254.42821801346406</c:v>
                </c:pt>
                <c:pt idx="4">
                  <c:v>318.03527251683005</c:v>
                </c:pt>
                <c:pt idx="5">
                  <c:v>381.64232702019609</c:v>
                </c:pt>
                <c:pt idx="6">
                  <c:v>445.24938152356202</c:v>
                </c:pt>
                <c:pt idx="7">
                  <c:v>508.85643602692812</c:v>
                </c:pt>
                <c:pt idx="8">
                  <c:v>572.46349053029405</c:v>
                </c:pt>
                <c:pt idx="9">
                  <c:v>636.0705450336601</c:v>
                </c:pt>
                <c:pt idx="10">
                  <c:v>699.67759953702614</c:v>
                </c:pt>
                <c:pt idx="11">
                  <c:v>763.28465404039218</c:v>
                </c:pt>
                <c:pt idx="12">
                  <c:v>826.89170854375811</c:v>
                </c:pt>
              </c:numCache>
            </c:numRef>
          </c:xVal>
          <c:yVal>
            <c:numRef>
              <c:f>'Custo e Disponibilidade'!$G$24:$G$36</c:f>
              <c:numCache>
                <c:formatCode>0.0000%</c:formatCode>
                <c:ptCount val="13"/>
                <c:pt idx="0">
                  <c:v>0.95495529337126617</c:v>
                </c:pt>
                <c:pt idx="1">
                  <c:v>0.97674254725386533</c:v>
                </c:pt>
                <c:pt idx="2">
                  <c:v>0.98362224733749359</c:v>
                </c:pt>
                <c:pt idx="3">
                  <c:v>0.98663147717301247</c:v>
                </c:pt>
                <c:pt idx="4">
                  <c:v>0.98830851189301805</c:v>
                </c:pt>
                <c:pt idx="5">
                  <c:v>0.98948005068635148</c:v>
                </c:pt>
                <c:pt idx="6">
                  <c:v>0.99042938858494134</c:v>
                </c:pt>
                <c:pt idx="7">
                  <c:v>0.99182131731018774</c:v>
                </c:pt>
                <c:pt idx="8">
                  <c:v>0.99197059489460615</c:v>
                </c:pt>
                <c:pt idx="9">
                  <c:v>0.9926077283903546</c:v>
                </c:pt>
                <c:pt idx="10">
                  <c:v>0.99317034924467307</c:v>
                </c:pt>
                <c:pt idx="11">
                  <c:v>0.99366707822581168</c:v>
                </c:pt>
                <c:pt idx="12">
                  <c:v>0.99410601051169356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8-45E9-A612-4C460DC5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893663"/>
        <c:axId val="1513904479"/>
      </c:scatterChart>
      <c:valAx>
        <c:axId val="151389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</a:t>
                </a:r>
                <a:r>
                  <a:rPr lang="pt-BR" baseline="0"/>
                  <a:t> da MP [h]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904479"/>
        <c:crosses val="autoZero"/>
        <c:crossBetween val="midCat"/>
      </c:valAx>
      <c:valAx>
        <c:axId val="1513904479"/>
        <c:scaling>
          <c:orientation val="minMax"/>
          <c:max val="1"/>
          <c:min val="0.88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Disponibilidade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893663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Distribuição 4095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 e Disponibilidade'!$H$24:$H$36</c:f>
              <c:numCache>
                <c:formatCode>General</c:formatCode>
                <c:ptCount val="13"/>
                <c:pt idx="0">
                  <c:v>3.7251222685425449</c:v>
                </c:pt>
                <c:pt idx="1">
                  <c:v>7.4502445370850898</c:v>
                </c:pt>
                <c:pt idx="2">
                  <c:v>11.175366805627634</c:v>
                </c:pt>
                <c:pt idx="3">
                  <c:v>14.90048907417018</c:v>
                </c:pt>
                <c:pt idx="4">
                  <c:v>18.625611342712723</c:v>
                </c:pt>
                <c:pt idx="5">
                  <c:v>22.350733611255269</c:v>
                </c:pt>
                <c:pt idx="6">
                  <c:v>26.07585587979781</c:v>
                </c:pt>
                <c:pt idx="7">
                  <c:v>29.800978148340359</c:v>
                </c:pt>
                <c:pt idx="8">
                  <c:v>33.526100416882898</c:v>
                </c:pt>
                <c:pt idx="9">
                  <c:v>37.251222685425446</c:v>
                </c:pt>
                <c:pt idx="10">
                  <c:v>40.976344953967988</c:v>
                </c:pt>
                <c:pt idx="11">
                  <c:v>44.701467222510537</c:v>
                </c:pt>
                <c:pt idx="12">
                  <c:v>48.426589491053079</c:v>
                </c:pt>
              </c:numCache>
            </c:numRef>
          </c:xVal>
          <c:yVal>
            <c:numRef>
              <c:f>'Custo e Disponibilidade'!$I$24:$I$36</c:f>
              <c:numCache>
                <c:formatCode>0.0000%</c:formatCode>
                <c:ptCount val="13"/>
                <c:pt idx="0">
                  <c:v>0.88166022940385214</c:v>
                </c:pt>
                <c:pt idx="1">
                  <c:v>0.93710885268650557</c:v>
                </c:pt>
                <c:pt idx="2">
                  <c:v>0.95717155993945013</c:v>
                </c:pt>
                <c:pt idx="3">
                  <c:v>0.96695456105718725</c:v>
                </c:pt>
                <c:pt idx="4">
                  <c:v>0.96665903073657744</c:v>
                </c:pt>
                <c:pt idx="5">
                  <c:v>0.95508431488466095</c:v>
                </c:pt>
                <c:pt idx="6">
                  <c:v>0.94460244812022565</c:v>
                </c:pt>
                <c:pt idx="7">
                  <c:v>0.94224981032714439</c:v>
                </c:pt>
                <c:pt idx="8">
                  <c:v>0.94505758846234411</c:v>
                </c:pt>
                <c:pt idx="9">
                  <c:v>0.94935242497488892</c:v>
                </c:pt>
                <c:pt idx="10">
                  <c:v>0.95352499800093293</c:v>
                </c:pt>
                <c:pt idx="11">
                  <c:v>0.95718655087936533</c:v>
                </c:pt>
                <c:pt idx="12">
                  <c:v>0.96034050342490174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A-42F1-A07B-CBA3267B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438783"/>
        <c:axId val="2060768799"/>
      </c:scatterChart>
      <c:valAx>
        <c:axId val="152443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da MP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0768799"/>
        <c:crosses val="autoZero"/>
        <c:crossBetween val="midCat"/>
      </c:valAx>
      <c:valAx>
        <c:axId val="2060768799"/>
        <c:scaling>
          <c:orientation val="minMax"/>
          <c:max val="1"/>
          <c:min val="0.88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DIsponibilidade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43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D</a:t>
            </a:r>
            <a:r>
              <a:rPr lang="en-US" sz="1400" b="0" i="0" u="none" strike="noStrike" baseline="0">
                <a:effectLst/>
              </a:rPr>
              <a:t>istribuição 1890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 e Disponibilidade'!$J$24:$J$36</c:f>
              <c:numCache>
                <c:formatCode>General</c:formatCode>
                <c:ptCount val="13"/>
                <c:pt idx="0">
                  <c:v>39.509041937147288</c:v>
                </c:pt>
                <c:pt idx="1">
                  <c:v>79.018083874294575</c:v>
                </c:pt>
                <c:pt idx="2">
                  <c:v>118.52712581144186</c:v>
                </c:pt>
                <c:pt idx="3">
                  <c:v>158.03616774858915</c:v>
                </c:pt>
                <c:pt idx="4">
                  <c:v>197.54520968573644</c:v>
                </c:pt>
                <c:pt idx="5">
                  <c:v>237.05425162288373</c:v>
                </c:pt>
                <c:pt idx="6">
                  <c:v>276.56329356003096</c:v>
                </c:pt>
                <c:pt idx="7">
                  <c:v>316.0723354971783</c:v>
                </c:pt>
                <c:pt idx="8">
                  <c:v>355.58137743432553</c:v>
                </c:pt>
                <c:pt idx="9">
                  <c:v>395.09041937147288</c:v>
                </c:pt>
                <c:pt idx="10">
                  <c:v>434.59946130862011</c:v>
                </c:pt>
                <c:pt idx="11">
                  <c:v>474.10850324576745</c:v>
                </c:pt>
                <c:pt idx="12">
                  <c:v>513.61754518291468</c:v>
                </c:pt>
              </c:numCache>
            </c:numRef>
          </c:xVal>
          <c:yVal>
            <c:numRef>
              <c:f>'Custo e Disponibilidade'!$K$24:$K$36</c:f>
              <c:numCache>
                <c:formatCode>0.0000%</c:formatCode>
                <c:ptCount val="13"/>
                <c:pt idx="0">
                  <c:v>0.95181772677315979</c:v>
                </c:pt>
                <c:pt idx="1">
                  <c:v>0.97531415328085092</c:v>
                </c:pt>
                <c:pt idx="2">
                  <c:v>0.98340622505900543</c:v>
                </c:pt>
                <c:pt idx="3">
                  <c:v>0.98750282496677921</c:v>
                </c:pt>
                <c:pt idx="4">
                  <c:v>0.98997714913072632</c:v>
                </c:pt>
                <c:pt idx="5">
                  <c:v>0.99084899211040844</c:v>
                </c:pt>
                <c:pt idx="6">
                  <c:v>0.98645849033554733</c:v>
                </c:pt>
                <c:pt idx="7">
                  <c:v>0.98750417884359409</c:v>
                </c:pt>
                <c:pt idx="8">
                  <c:v>0.98887595350341739</c:v>
                </c:pt>
                <c:pt idx="9">
                  <c:v>0.98997720865787942</c:v>
                </c:pt>
                <c:pt idx="10">
                  <c:v>0.99088006175824872</c:v>
                </c:pt>
                <c:pt idx="11">
                  <c:v>0.9916336982654671</c:v>
                </c:pt>
                <c:pt idx="12">
                  <c:v>0.99227228667724843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3-4AEA-BB8B-E177C0371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273007"/>
        <c:axId val="1535280079"/>
      </c:scatterChart>
      <c:valAx>
        <c:axId val="153527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</a:t>
                </a:r>
                <a:r>
                  <a:rPr lang="pt-BR" baseline="0"/>
                  <a:t> da MP [h]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5280079"/>
        <c:crosses val="autoZero"/>
        <c:crossBetween val="midCat"/>
      </c:valAx>
      <c:valAx>
        <c:axId val="1535280079"/>
        <c:scaling>
          <c:orientation val="minMax"/>
          <c:max val="1"/>
          <c:min val="0.88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Disponibilidade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5273007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Distribuição 4319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'lognormal 1'!$C$1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'lognormal 1'!$A$2:$A$102</c:f>
              <c:numCache>
                <c:formatCode>General</c:formatCode>
                <c:ptCount val="101"/>
                <c:pt idx="0">
                  <c:v>53.385899999999999</c:v>
                </c:pt>
                <c:pt idx="1">
                  <c:v>101.5258</c:v>
                </c:pt>
                <c:pt idx="2">
                  <c:v>110.55710000000001</c:v>
                </c:pt>
                <c:pt idx="3">
                  <c:v>128.5453</c:v>
                </c:pt>
                <c:pt idx="4">
                  <c:v>130.60120000000001</c:v>
                </c:pt>
                <c:pt idx="5">
                  <c:v>137.7944</c:v>
                </c:pt>
                <c:pt idx="6">
                  <c:v>145.9982</c:v>
                </c:pt>
                <c:pt idx="7">
                  <c:v>151.67240000000001</c:v>
                </c:pt>
                <c:pt idx="8">
                  <c:v>162.1352</c:v>
                </c:pt>
                <c:pt idx="9">
                  <c:v>165.8409</c:v>
                </c:pt>
                <c:pt idx="10">
                  <c:v>170.22730000000001</c:v>
                </c:pt>
                <c:pt idx="11">
                  <c:v>177.5179</c:v>
                </c:pt>
                <c:pt idx="12">
                  <c:v>185.01329999999999</c:v>
                </c:pt>
                <c:pt idx="13">
                  <c:v>194.71719999999999</c:v>
                </c:pt>
                <c:pt idx="14">
                  <c:v>206.39769999999999</c:v>
                </c:pt>
                <c:pt idx="15">
                  <c:v>209.3133</c:v>
                </c:pt>
                <c:pt idx="16">
                  <c:v>210.3767</c:v>
                </c:pt>
                <c:pt idx="17">
                  <c:v>210.52510000000001</c:v>
                </c:pt>
                <c:pt idx="18">
                  <c:v>211.7158</c:v>
                </c:pt>
                <c:pt idx="19">
                  <c:v>211.94909999999999</c:v>
                </c:pt>
                <c:pt idx="20">
                  <c:v>213.42769999999999</c:v>
                </c:pt>
                <c:pt idx="21">
                  <c:v>234.8766</c:v>
                </c:pt>
                <c:pt idx="22">
                  <c:v>237.71170000000001</c:v>
                </c:pt>
                <c:pt idx="23">
                  <c:v>238.84889999999999</c:v>
                </c:pt>
                <c:pt idx="24">
                  <c:v>240.0094</c:v>
                </c:pt>
                <c:pt idx="25">
                  <c:v>240.0205</c:v>
                </c:pt>
                <c:pt idx="26">
                  <c:v>247.6952</c:v>
                </c:pt>
                <c:pt idx="27">
                  <c:v>249.0461</c:v>
                </c:pt>
                <c:pt idx="28">
                  <c:v>251.584</c:v>
                </c:pt>
                <c:pt idx="29">
                  <c:v>251.85679999999999</c:v>
                </c:pt>
                <c:pt idx="30">
                  <c:v>256.65359999999998</c:v>
                </c:pt>
                <c:pt idx="31">
                  <c:v>266.50119999999998</c:v>
                </c:pt>
                <c:pt idx="32">
                  <c:v>277.54599999999999</c:v>
                </c:pt>
                <c:pt idx="33">
                  <c:v>281.93880000000001</c:v>
                </c:pt>
                <c:pt idx="34">
                  <c:v>288.44130000000001</c:v>
                </c:pt>
                <c:pt idx="35">
                  <c:v>306.43700000000001</c:v>
                </c:pt>
                <c:pt idx="36">
                  <c:v>306.4726</c:v>
                </c:pt>
                <c:pt idx="37">
                  <c:v>306.68970000000002</c:v>
                </c:pt>
                <c:pt idx="38">
                  <c:v>308.18939999999998</c:v>
                </c:pt>
                <c:pt idx="39">
                  <c:v>308.27</c:v>
                </c:pt>
                <c:pt idx="40">
                  <c:v>318.57580000000002</c:v>
                </c:pt>
                <c:pt idx="41">
                  <c:v>319.92739999999998</c:v>
                </c:pt>
                <c:pt idx="42">
                  <c:v>325.19409999999999</c:v>
                </c:pt>
                <c:pt idx="43">
                  <c:v>332.50299999999999</c:v>
                </c:pt>
                <c:pt idx="44">
                  <c:v>334.15129999999999</c:v>
                </c:pt>
                <c:pt idx="45">
                  <c:v>334.19749999999999</c:v>
                </c:pt>
                <c:pt idx="46">
                  <c:v>336.19729999999998</c:v>
                </c:pt>
                <c:pt idx="47">
                  <c:v>337.08550000000002</c:v>
                </c:pt>
                <c:pt idx="48">
                  <c:v>340.17989999999998</c:v>
                </c:pt>
                <c:pt idx="49">
                  <c:v>340.39229999999998</c:v>
                </c:pt>
                <c:pt idx="50">
                  <c:v>341.47930000000002</c:v>
                </c:pt>
                <c:pt idx="51">
                  <c:v>360.85270000000003</c:v>
                </c:pt>
                <c:pt idx="52">
                  <c:v>362.83179999999999</c:v>
                </c:pt>
                <c:pt idx="53">
                  <c:v>368.88420000000002</c:v>
                </c:pt>
                <c:pt idx="54">
                  <c:v>373.69400000000002</c:v>
                </c:pt>
                <c:pt idx="55">
                  <c:v>374.21260000000001</c:v>
                </c:pt>
                <c:pt idx="56">
                  <c:v>379.858</c:v>
                </c:pt>
                <c:pt idx="57">
                  <c:v>382.45299999999997</c:v>
                </c:pt>
                <c:pt idx="58">
                  <c:v>388.09039999999999</c:v>
                </c:pt>
                <c:pt idx="59">
                  <c:v>390.971</c:v>
                </c:pt>
                <c:pt idx="60">
                  <c:v>393.82170000000002</c:v>
                </c:pt>
                <c:pt idx="61">
                  <c:v>405.46660000000003</c:v>
                </c:pt>
                <c:pt idx="62">
                  <c:v>408.81049999999999</c:v>
                </c:pt>
                <c:pt idx="63">
                  <c:v>409.25110000000001</c:v>
                </c:pt>
                <c:pt idx="64">
                  <c:v>412.37040000000002</c:v>
                </c:pt>
                <c:pt idx="65">
                  <c:v>414.01119999999997</c:v>
                </c:pt>
                <c:pt idx="66">
                  <c:v>416.49459999999999</c:v>
                </c:pt>
                <c:pt idx="67">
                  <c:v>419.2244</c:v>
                </c:pt>
                <c:pt idx="68">
                  <c:v>421.39370000000002</c:v>
                </c:pt>
                <c:pt idx="69">
                  <c:v>429.11009999999999</c:v>
                </c:pt>
                <c:pt idx="70">
                  <c:v>429.7928</c:v>
                </c:pt>
                <c:pt idx="71">
                  <c:v>458.12329999999997</c:v>
                </c:pt>
                <c:pt idx="72">
                  <c:v>468.11009999999999</c:v>
                </c:pt>
                <c:pt idx="73">
                  <c:v>468.92500000000001</c:v>
                </c:pt>
                <c:pt idx="74">
                  <c:v>471.09780000000001</c:v>
                </c:pt>
                <c:pt idx="75">
                  <c:v>478.15359999999998</c:v>
                </c:pt>
                <c:pt idx="76">
                  <c:v>496.8014</c:v>
                </c:pt>
                <c:pt idx="77">
                  <c:v>504.1268</c:v>
                </c:pt>
                <c:pt idx="78">
                  <c:v>516.61590000000001</c:v>
                </c:pt>
                <c:pt idx="79">
                  <c:v>556.01949999999999</c:v>
                </c:pt>
                <c:pt idx="80">
                  <c:v>557.24620000000004</c:v>
                </c:pt>
                <c:pt idx="81">
                  <c:v>557.95550000000003</c:v>
                </c:pt>
                <c:pt idx="82">
                  <c:v>559.75760000000002</c:v>
                </c:pt>
                <c:pt idx="83">
                  <c:v>565.34770000000003</c:v>
                </c:pt>
                <c:pt idx="84">
                  <c:v>589.44439999999997</c:v>
                </c:pt>
                <c:pt idx="85">
                  <c:v>590.90189999999996</c:v>
                </c:pt>
                <c:pt idx="86">
                  <c:v>606.46100000000001</c:v>
                </c:pt>
                <c:pt idx="87">
                  <c:v>607.67309999999998</c:v>
                </c:pt>
                <c:pt idx="88">
                  <c:v>617.84739999999999</c:v>
                </c:pt>
                <c:pt idx="89">
                  <c:v>651.36120000000005</c:v>
                </c:pt>
                <c:pt idx="90">
                  <c:v>670.04169999999999</c:v>
                </c:pt>
                <c:pt idx="91">
                  <c:v>715.05380000000002</c:v>
                </c:pt>
                <c:pt idx="92">
                  <c:v>719.59630000000004</c:v>
                </c:pt>
                <c:pt idx="93">
                  <c:v>725.44100000000003</c:v>
                </c:pt>
                <c:pt idx="94">
                  <c:v>752.87390000000005</c:v>
                </c:pt>
                <c:pt idx="95">
                  <c:v>771.91470000000004</c:v>
                </c:pt>
                <c:pt idx="96">
                  <c:v>772.00559999999996</c:v>
                </c:pt>
                <c:pt idx="97">
                  <c:v>828.17370000000005</c:v>
                </c:pt>
                <c:pt idx="98">
                  <c:v>883.85289999999998</c:v>
                </c:pt>
                <c:pt idx="99">
                  <c:v>1031.47</c:v>
                </c:pt>
              </c:numCache>
            </c:numRef>
          </c:xVal>
          <c:yVal>
            <c:numRef>
              <c:f>'lognormal 1'!$C$2:$C$102</c:f>
              <c:numCache>
                <c:formatCode>0%</c:formatCode>
                <c:ptCount val="101"/>
                <c:pt idx="0">
                  <c:v>0.9999637604415289</c:v>
                </c:pt>
                <c:pt idx="1">
                  <c:v>0.99592178061563863</c:v>
                </c:pt>
                <c:pt idx="2">
                  <c:v>0.99324963688554302</c:v>
                </c:pt>
                <c:pt idx="3">
                  <c:v>0.98462852558224512</c:v>
                </c:pt>
                <c:pt idx="4">
                  <c:v>0.98332214586113176</c:v>
                </c:pt>
                <c:pt idx="5">
                  <c:v>0.97818388618132457</c:v>
                </c:pt>
                <c:pt idx="6">
                  <c:v>0.97120468158678352</c:v>
                </c:pt>
                <c:pt idx="7">
                  <c:v>0.96565776738172293</c:v>
                </c:pt>
                <c:pt idx="8">
                  <c:v>0.95386257144123587</c:v>
                </c:pt>
                <c:pt idx="9">
                  <c:v>0.94919813527929675</c:v>
                </c:pt>
                <c:pt idx="10">
                  <c:v>0.94335142259395899</c:v>
                </c:pt>
                <c:pt idx="11">
                  <c:v>0.93286674296786021</c:v>
                </c:pt>
                <c:pt idx="12">
                  <c:v>0.92111954582019828</c:v>
                </c:pt>
                <c:pt idx="13">
                  <c:v>0.90452882717291139</c:v>
                </c:pt>
                <c:pt idx="14">
                  <c:v>0.88265357581669712</c:v>
                </c:pt>
                <c:pt idx="15">
                  <c:v>0.87689501121074853</c:v>
                </c:pt>
                <c:pt idx="16">
                  <c:v>0.87476685431497114</c:v>
                </c:pt>
                <c:pt idx="17">
                  <c:v>0.87446870216310701</c:v>
                </c:pt>
                <c:pt idx="18">
                  <c:v>0.872066251419095</c:v>
                </c:pt>
                <c:pt idx="19">
                  <c:v>0.8715934160621881</c:v>
                </c:pt>
                <c:pt idx="20">
                  <c:v>0.86858082477970144</c:v>
                </c:pt>
                <c:pt idx="21">
                  <c:v>0.82212670810336297</c:v>
                </c:pt>
                <c:pt idx="22">
                  <c:v>0.815653148840772</c:v>
                </c:pt>
                <c:pt idx="23">
                  <c:v>0.81303801652596197</c:v>
                </c:pt>
                <c:pt idx="24">
                  <c:v>0.81035878532422467</c:v>
                </c:pt>
                <c:pt idx="25">
                  <c:v>0.81033310847460405</c:v>
                </c:pt>
                <c:pt idx="26">
                  <c:v>0.7923660769675368</c:v>
                </c:pt>
                <c:pt idx="27">
                  <c:v>0.78916249514391912</c:v>
                </c:pt>
                <c:pt idx="28">
                  <c:v>0.78311401953897586</c:v>
                </c:pt>
                <c:pt idx="29">
                  <c:v>0.78246162491622928</c:v>
                </c:pt>
                <c:pt idx="30">
                  <c:v>0.77092419798315337</c:v>
                </c:pt>
                <c:pt idx="31">
                  <c:v>0.74690474167901044</c:v>
                </c:pt>
                <c:pt idx="32">
                  <c:v>0.71958362051667857</c:v>
                </c:pt>
                <c:pt idx="33">
                  <c:v>0.70864683916356241</c:v>
                </c:pt>
                <c:pt idx="34">
                  <c:v>0.692419208861349</c:v>
                </c:pt>
                <c:pt idx="35">
                  <c:v>0.64753370410771161</c:v>
                </c:pt>
                <c:pt idx="36">
                  <c:v>0.64744524650358248</c:v>
                </c:pt>
                <c:pt idx="37">
                  <c:v>0.64690585090283426</c:v>
                </c:pt>
                <c:pt idx="38">
                  <c:v>0.64318204035620719</c:v>
                </c:pt>
                <c:pt idx="39">
                  <c:v>0.64298202359942913</c:v>
                </c:pt>
                <c:pt idx="40">
                  <c:v>0.61752525435914984</c:v>
                </c:pt>
                <c:pt idx="41">
                  <c:v>0.6142068661698159</c:v>
                </c:pt>
                <c:pt idx="42">
                  <c:v>0.60132979050389146</c:v>
                </c:pt>
                <c:pt idx="43">
                  <c:v>0.58361802858029876</c:v>
                </c:pt>
                <c:pt idx="44">
                  <c:v>0.57965185621762849</c:v>
                </c:pt>
                <c:pt idx="45">
                  <c:v>0.57954084695842534</c:v>
                </c:pt>
                <c:pt idx="46">
                  <c:v>0.57474417484870399</c:v>
                </c:pt>
                <c:pt idx="47">
                  <c:v>0.57261914096955269</c:v>
                </c:pt>
                <c:pt idx="48">
                  <c:v>0.56524243480309666</c:v>
                </c:pt>
                <c:pt idx="49">
                  <c:v>0.5647376515563568</c:v>
                </c:pt>
                <c:pt idx="50">
                  <c:v>0.56215751624373911</c:v>
                </c:pt>
                <c:pt idx="51">
                  <c:v>0.51715248367177069</c:v>
                </c:pt>
                <c:pt idx="52">
                  <c:v>0.51266843961508446</c:v>
                </c:pt>
                <c:pt idx="53">
                  <c:v>0.49909751106654388</c:v>
                </c:pt>
                <c:pt idx="54">
                  <c:v>0.48847056807958217</c:v>
                </c:pt>
                <c:pt idx="55">
                  <c:v>0.48733332603135537</c:v>
                </c:pt>
                <c:pt idx="56">
                  <c:v>0.47506382064422015</c:v>
                </c:pt>
                <c:pt idx="57">
                  <c:v>0.46949279335708521</c:v>
                </c:pt>
                <c:pt idx="58">
                  <c:v>0.45754284303771414</c:v>
                </c:pt>
                <c:pt idx="59">
                  <c:v>0.45151847927166416</c:v>
                </c:pt>
                <c:pt idx="60">
                  <c:v>0.44561180954370327</c:v>
                </c:pt>
                <c:pt idx="61">
                  <c:v>0.42206175256183476</c:v>
                </c:pt>
                <c:pt idx="62">
                  <c:v>0.41547287581827624</c:v>
                </c:pt>
                <c:pt idx="63">
                  <c:v>0.41461053029055311</c:v>
                </c:pt>
                <c:pt idx="64">
                  <c:v>0.40854426263092103</c:v>
                </c:pt>
                <c:pt idx="65">
                  <c:v>0.40538067607657335</c:v>
                </c:pt>
                <c:pt idx="66">
                  <c:v>0.40062843465085357</c:v>
                </c:pt>
                <c:pt idx="67">
                  <c:v>0.39545467612539825</c:v>
                </c:pt>
                <c:pt idx="68">
                  <c:v>0.39138059143326587</c:v>
                </c:pt>
                <c:pt idx="69">
                  <c:v>0.37715695274836175</c:v>
                </c:pt>
                <c:pt idx="70">
                  <c:v>0.37591868533316214</c:v>
                </c:pt>
                <c:pt idx="71">
                  <c:v>0.32739766447787921</c:v>
                </c:pt>
                <c:pt idx="72">
                  <c:v>0.31160535488518992</c:v>
                </c:pt>
                <c:pt idx="73">
                  <c:v>0.31034626164501594</c:v>
                </c:pt>
                <c:pt idx="74">
                  <c:v>0.3070106721287893</c:v>
                </c:pt>
                <c:pt idx="75">
                  <c:v>0.29639377645797388</c:v>
                </c:pt>
                <c:pt idx="76">
                  <c:v>0.26988084369834991</c:v>
                </c:pt>
                <c:pt idx="77">
                  <c:v>0.26006192349126883</c:v>
                </c:pt>
                <c:pt idx="78">
                  <c:v>0.24406820477450508</c:v>
                </c:pt>
                <c:pt idx="79">
                  <c:v>0.19938574536499332</c:v>
                </c:pt>
                <c:pt idx="80">
                  <c:v>0.19812680273204106</c:v>
                </c:pt>
                <c:pt idx="81">
                  <c:v>0.19740230982757395</c:v>
                </c:pt>
                <c:pt idx="82">
                  <c:v>0.19557292503810203</c:v>
                </c:pt>
                <c:pt idx="83">
                  <c:v>0.19000039306184832</c:v>
                </c:pt>
                <c:pt idx="84">
                  <c:v>0.16767459256253428</c:v>
                </c:pt>
                <c:pt idx="85">
                  <c:v>0.16640869189902943</c:v>
                </c:pt>
                <c:pt idx="86">
                  <c:v>0.1534608359204587</c:v>
                </c:pt>
                <c:pt idx="87">
                  <c:v>0.15249445293834002</c:v>
                </c:pt>
                <c:pt idx="88">
                  <c:v>0.1446141514869527</c:v>
                </c:pt>
                <c:pt idx="89">
                  <c:v>0.12138899623623399</c:v>
                </c:pt>
                <c:pt idx="90">
                  <c:v>0.11009298525398159</c:v>
                </c:pt>
                <c:pt idx="91">
                  <c:v>8.7017215100944068E-2</c:v>
                </c:pt>
                <c:pt idx="92">
                  <c:v>8.4978485091785377E-2</c:v>
                </c:pt>
                <c:pt idx="93">
                  <c:v>8.2426393453954E-2</c:v>
                </c:pt>
                <c:pt idx="94">
                  <c:v>7.1449906379723677E-2</c:v>
                </c:pt>
                <c:pt idx="95">
                  <c:v>6.4718800058447531E-2</c:v>
                </c:pt>
                <c:pt idx="96">
                  <c:v>6.4688272456057447E-2</c:v>
                </c:pt>
                <c:pt idx="97">
                  <c:v>4.83862344945995E-2</c:v>
                </c:pt>
                <c:pt idx="98">
                  <c:v>3.6382488885128642E-2</c:v>
                </c:pt>
                <c:pt idx="99">
                  <c:v>1.7360897870041123E-2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C7-4EB9-90A6-1FE54AA8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98447"/>
        <c:axId val="1262433279"/>
      </c:scatterChart>
      <c:scatterChart>
        <c:scatterStyle val="smoothMarker"/>
        <c:varyColors val="0"/>
        <c:ser>
          <c:idx val="0"/>
          <c:order val="1"/>
          <c:tx>
            <c:strRef>
              <c:f>'lognormal 1'!$B$1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'lognormal 1'!$A$2:$A$101</c:f>
              <c:numCache>
                <c:formatCode>General</c:formatCode>
                <c:ptCount val="100"/>
                <c:pt idx="0">
                  <c:v>53.385899999999999</c:v>
                </c:pt>
                <c:pt idx="1">
                  <c:v>101.5258</c:v>
                </c:pt>
                <c:pt idx="2">
                  <c:v>110.55710000000001</c:v>
                </c:pt>
                <c:pt idx="3">
                  <c:v>128.5453</c:v>
                </c:pt>
                <c:pt idx="4">
                  <c:v>130.60120000000001</c:v>
                </c:pt>
                <c:pt idx="5">
                  <c:v>137.7944</c:v>
                </c:pt>
                <c:pt idx="6">
                  <c:v>145.9982</c:v>
                </c:pt>
                <c:pt idx="7">
                  <c:v>151.67240000000001</c:v>
                </c:pt>
                <c:pt idx="8">
                  <c:v>162.1352</c:v>
                </c:pt>
                <c:pt idx="9">
                  <c:v>165.8409</c:v>
                </c:pt>
                <c:pt idx="10">
                  <c:v>170.22730000000001</c:v>
                </c:pt>
                <c:pt idx="11">
                  <c:v>177.5179</c:v>
                </c:pt>
                <c:pt idx="12">
                  <c:v>185.01329999999999</c:v>
                </c:pt>
                <c:pt idx="13">
                  <c:v>194.71719999999999</c:v>
                </c:pt>
                <c:pt idx="14">
                  <c:v>206.39769999999999</c:v>
                </c:pt>
                <c:pt idx="15">
                  <c:v>209.3133</c:v>
                </c:pt>
                <c:pt idx="16">
                  <c:v>210.3767</c:v>
                </c:pt>
                <c:pt idx="17">
                  <c:v>210.52510000000001</c:v>
                </c:pt>
                <c:pt idx="18">
                  <c:v>211.7158</c:v>
                </c:pt>
                <c:pt idx="19">
                  <c:v>211.94909999999999</c:v>
                </c:pt>
                <c:pt idx="20">
                  <c:v>213.42769999999999</c:v>
                </c:pt>
                <c:pt idx="21">
                  <c:v>234.8766</c:v>
                </c:pt>
                <c:pt idx="22">
                  <c:v>237.71170000000001</c:v>
                </c:pt>
                <c:pt idx="23">
                  <c:v>238.84889999999999</c:v>
                </c:pt>
                <c:pt idx="24">
                  <c:v>240.0094</c:v>
                </c:pt>
                <c:pt idx="25">
                  <c:v>240.0205</c:v>
                </c:pt>
                <c:pt idx="26">
                  <c:v>247.6952</c:v>
                </c:pt>
                <c:pt idx="27">
                  <c:v>249.0461</c:v>
                </c:pt>
                <c:pt idx="28">
                  <c:v>251.584</c:v>
                </c:pt>
                <c:pt idx="29">
                  <c:v>251.85679999999999</c:v>
                </c:pt>
                <c:pt idx="30">
                  <c:v>256.65359999999998</c:v>
                </c:pt>
                <c:pt idx="31">
                  <c:v>266.50119999999998</c:v>
                </c:pt>
                <c:pt idx="32">
                  <c:v>277.54599999999999</c:v>
                </c:pt>
                <c:pt idx="33">
                  <c:v>281.93880000000001</c:v>
                </c:pt>
                <c:pt idx="34">
                  <c:v>288.44130000000001</c:v>
                </c:pt>
                <c:pt idx="35">
                  <c:v>306.43700000000001</c:v>
                </c:pt>
                <c:pt idx="36">
                  <c:v>306.4726</c:v>
                </c:pt>
                <c:pt idx="37">
                  <c:v>306.68970000000002</c:v>
                </c:pt>
                <c:pt idx="38">
                  <c:v>308.18939999999998</c:v>
                </c:pt>
                <c:pt idx="39">
                  <c:v>308.27</c:v>
                </c:pt>
                <c:pt idx="40">
                  <c:v>318.57580000000002</c:v>
                </c:pt>
                <c:pt idx="41">
                  <c:v>319.92739999999998</c:v>
                </c:pt>
                <c:pt idx="42">
                  <c:v>325.19409999999999</c:v>
                </c:pt>
                <c:pt idx="43">
                  <c:v>332.50299999999999</c:v>
                </c:pt>
                <c:pt idx="44">
                  <c:v>334.15129999999999</c:v>
                </c:pt>
                <c:pt idx="45">
                  <c:v>334.19749999999999</c:v>
                </c:pt>
                <c:pt idx="46">
                  <c:v>336.19729999999998</c:v>
                </c:pt>
                <c:pt idx="47">
                  <c:v>337.08550000000002</c:v>
                </c:pt>
                <c:pt idx="48">
                  <c:v>340.17989999999998</c:v>
                </c:pt>
                <c:pt idx="49">
                  <c:v>340.39229999999998</c:v>
                </c:pt>
                <c:pt idx="50">
                  <c:v>341.47930000000002</c:v>
                </c:pt>
                <c:pt idx="51">
                  <c:v>360.85270000000003</c:v>
                </c:pt>
                <c:pt idx="52">
                  <c:v>362.83179999999999</c:v>
                </c:pt>
                <c:pt idx="53">
                  <c:v>368.88420000000002</c:v>
                </c:pt>
                <c:pt idx="54">
                  <c:v>373.69400000000002</c:v>
                </c:pt>
                <c:pt idx="55">
                  <c:v>374.21260000000001</c:v>
                </c:pt>
                <c:pt idx="56">
                  <c:v>379.858</c:v>
                </c:pt>
                <c:pt idx="57">
                  <c:v>382.45299999999997</c:v>
                </c:pt>
                <c:pt idx="58">
                  <c:v>388.09039999999999</c:v>
                </c:pt>
                <c:pt idx="59">
                  <c:v>390.971</c:v>
                </c:pt>
                <c:pt idx="60">
                  <c:v>393.82170000000002</c:v>
                </c:pt>
                <c:pt idx="61">
                  <c:v>405.46660000000003</c:v>
                </c:pt>
                <c:pt idx="62">
                  <c:v>408.81049999999999</c:v>
                </c:pt>
                <c:pt idx="63">
                  <c:v>409.25110000000001</c:v>
                </c:pt>
                <c:pt idx="64">
                  <c:v>412.37040000000002</c:v>
                </c:pt>
                <c:pt idx="65">
                  <c:v>414.01119999999997</c:v>
                </c:pt>
                <c:pt idx="66">
                  <c:v>416.49459999999999</c:v>
                </c:pt>
                <c:pt idx="67">
                  <c:v>419.2244</c:v>
                </c:pt>
                <c:pt idx="68">
                  <c:v>421.39370000000002</c:v>
                </c:pt>
                <c:pt idx="69">
                  <c:v>429.11009999999999</c:v>
                </c:pt>
                <c:pt idx="70">
                  <c:v>429.7928</c:v>
                </c:pt>
                <c:pt idx="71">
                  <c:v>458.12329999999997</c:v>
                </c:pt>
                <c:pt idx="72">
                  <c:v>468.11009999999999</c:v>
                </c:pt>
                <c:pt idx="73">
                  <c:v>468.92500000000001</c:v>
                </c:pt>
                <c:pt idx="74">
                  <c:v>471.09780000000001</c:v>
                </c:pt>
                <c:pt idx="75">
                  <c:v>478.15359999999998</c:v>
                </c:pt>
                <c:pt idx="76">
                  <c:v>496.8014</c:v>
                </c:pt>
                <c:pt idx="77">
                  <c:v>504.1268</c:v>
                </c:pt>
                <c:pt idx="78">
                  <c:v>516.61590000000001</c:v>
                </c:pt>
                <c:pt idx="79">
                  <c:v>556.01949999999999</c:v>
                </c:pt>
                <c:pt idx="80">
                  <c:v>557.24620000000004</c:v>
                </c:pt>
                <c:pt idx="81">
                  <c:v>557.95550000000003</c:v>
                </c:pt>
                <c:pt idx="82">
                  <c:v>559.75760000000002</c:v>
                </c:pt>
                <c:pt idx="83">
                  <c:v>565.34770000000003</c:v>
                </c:pt>
                <c:pt idx="84">
                  <c:v>589.44439999999997</c:v>
                </c:pt>
                <c:pt idx="85">
                  <c:v>590.90189999999996</c:v>
                </c:pt>
                <c:pt idx="86">
                  <c:v>606.46100000000001</c:v>
                </c:pt>
                <c:pt idx="87">
                  <c:v>607.67309999999998</c:v>
                </c:pt>
                <c:pt idx="88">
                  <c:v>617.84739999999999</c:v>
                </c:pt>
                <c:pt idx="89">
                  <c:v>651.36120000000005</c:v>
                </c:pt>
                <c:pt idx="90">
                  <c:v>670.04169999999999</c:v>
                </c:pt>
                <c:pt idx="91">
                  <c:v>715.05380000000002</c:v>
                </c:pt>
                <c:pt idx="92">
                  <c:v>719.59630000000004</c:v>
                </c:pt>
                <c:pt idx="93">
                  <c:v>725.44100000000003</c:v>
                </c:pt>
                <c:pt idx="94">
                  <c:v>752.87390000000005</c:v>
                </c:pt>
                <c:pt idx="95">
                  <c:v>771.91470000000004</c:v>
                </c:pt>
                <c:pt idx="96">
                  <c:v>772.00559999999996</c:v>
                </c:pt>
                <c:pt idx="97">
                  <c:v>828.17370000000005</c:v>
                </c:pt>
                <c:pt idx="98">
                  <c:v>883.85289999999998</c:v>
                </c:pt>
                <c:pt idx="99">
                  <c:v>1031.47</c:v>
                </c:pt>
              </c:numCache>
            </c:numRef>
          </c:xVal>
          <c:yVal>
            <c:numRef>
              <c:f>'lognormal 1'!$B$2:$B$101</c:f>
              <c:numCache>
                <c:formatCode>General</c:formatCode>
                <c:ptCount val="100"/>
                <c:pt idx="0">
                  <c:v>3.9730231290622871</c:v>
                </c:pt>
                <c:pt idx="1">
                  <c:v>2.6511070109695147</c:v>
                </c:pt>
                <c:pt idx="2">
                  <c:v>2.4758448591891904</c:v>
                </c:pt>
                <c:pt idx="3">
                  <c:v>2.165813271479188</c:v>
                </c:pt>
                <c:pt idx="4">
                  <c:v>2.1331810564730738</c:v>
                </c:pt>
                <c:pt idx="5">
                  <c:v>2.022917610446938</c:v>
                </c:pt>
                <c:pt idx="6">
                  <c:v>1.9039809285565965</c:v>
                </c:pt>
                <c:pt idx="7">
                  <c:v>1.825565393506857</c:v>
                </c:pt>
                <c:pt idx="8">
                  <c:v>1.6883741869892217</c:v>
                </c:pt>
                <c:pt idx="9">
                  <c:v>1.6418983365556774</c:v>
                </c:pt>
                <c:pt idx="10">
                  <c:v>1.5882092172443667</c:v>
                </c:pt>
                <c:pt idx="11">
                  <c:v>1.5019617056727492</c:v>
                </c:pt>
                <c:pt idx="12">
                  <c:v>1.4169082188679745</c:v>
                </c:pt>
                <c:pt idx="13">
                  <c:v>1.3117734899708606</c:v>
                </c:pt>
                <c:pt idx="14">
                  <c:v>1.1919626135234422</c:v>
                </c:pt>
                <c:pt idx="15">
                  <c:v>1.1631140395841484</c:v>
                </c:pt>
                <c:pt idx="16">
                  <c:v>1.1526920708130199</c:v>
                </c:pt>
                <c:pt idx="17">
                  <c:v>1.1512418506487578</c:v>
                </c:pt>
                <c:pt idx="18">
                  <c:v>1.1396427582053448</c:v>
                </c:pt>
                <c:pt idx="19">
                  <c:v>1.1373777326762027</c:v>
                </c:pt>
                <c:pt idx="20">
                  <c:v>1.1230802540950846</c:v>
                </c:pt>
                <c:pt idx="21">
                  <c:v>0.92613540200523936</c:v>
                </c:pt>
                <c:pt idx="22">
                  <c:v>0.90145959129889652</c:v>
                </c:pt>
                <c:pt idx="23">
                  <c:v>0.89164436437077943</c:v>
                </c:pt>
                <c:pt idx="24">
                  <c:v>0.88167609468409447</c:v>
                </c:pt>
                <c:pt idx="25">
                  <c:v>0.8815809826449299</c:v>
                </c:pt>
                <c:pt idx="26">
                  <c:v>0.81685013020407382</c:v>
                </c:pt>
                <c:pt idx="27">
                  <c:v>0.80566413042899432</c:v>
                </c:pt>
                <c:pt idx="28">
                  <c:v>0.78481240143368258</c:v>
                </c:pt>
                <c:pt idx="29">
                  <c:v>0.78258357216044694</c:v>
                </c:pt>
                <c:pt idx="30">
                  <c:v>0.74378234535993082</c:v>
                </c:pt>
                <c:pt idx="31">
                  <c:v>0.66634823907284846</c:v>
                </c:pt>
                <c:pt idx="32">
                  <c:v>0.5828337643783037</c:v>
                </c:pt>
                <c:pt idx="33">
                  <c:v>0.55053820089125949</c:v>
                </c:pt>
                <c:pt idx="34">
                  <c:v>0.50364438057602312</c:v>
                </c:pt>
                <c:pt idx="35">
                  <c:v>0.37917745801167302</c:v>
                </c:pt>
                <c:pt idx="36">
                  <c:v>0.37893854798423171</c:v>
                </c:pt>
                <c:pt idx="37">
                  <c:v>0.37748219986103643</c:v>
                </c:pt>
                <c:pt idx="38">
                  <c:v>0.36744999655551469</c:v>
                </c:pt>
                <c:pt idx="39">
                  <c:v>0.36691220823208143</c:v>
                </c:pt>
                <c:pt idx="40">
                  <c:v>0.29928196843206062</c:v>
                </c:pt>
                <c:pt idx="41">
                  <c:v>0.29057500827592303</c:v>
                </c:pt>
                <c:pt idx="42">
                  <c:v>0.25699448052449175</c:v>
                </c:pt>
                <c:pt idx="43">
                  <c:v>0.21128305392811061</c:v>
                </c:pt>
                <c:pt idx="44">
                  <c:v>0.20111314035034844</c:v>
                </c:pt>
                <c:pt idx="45">
                  <c:v>0.200828812365455</c:v>
                </c:pt>
                <c:pt idx="46">
                  <c:v>0.18855899725007544</c:v>
                </c:pt>
                <c:pt idx="47">
                  <c:v>0.1831328159003808</c:v>
                </c:pt>
                <c:pt idx="48">
                  <c:v>0.1643395876303641</c:v>
                </c:pt>
                <c:pt idx="49">
                  <c:v>0.16305589477248797</c:v>
                </c:pt>
                <c:pt idx="50">
                  <c:v>0.1564988505447876</c:v>
                </c:pt>
                <c:pt idx="51">
                  <c:v>4.3009690917019096E-2</c:v>
                </c:pt>
                <c:pt idx="52">
                  <c:v>3.1761042210999166E-2</c:v>
                </c:pt>
                <c:pt idx="53">
                  <c:v>-2.2622064531436256E-3</c:v>
                </c:pt>
                <c:pt idx="54">
                  <c:v>-2.8904505552447134E-2</c:v>
                </c:pt>
                <c:pt idx="55">
                  <c:v>-3.1756613900360657E-2</c:v>
                </c:pt>
                <c:pt idx="56">
                  <c:v>-6.255100546953965E-2</c:v>
                </c:pt>
                <c:pt idx="57">
                  <c:v>-7.6552927553102251E-2</c:v>
                </c:pt>
                <c:pt idx="58">
                  <c:v>-0.10664626108553642</c:v>
                </c:pt>
                <c:pt idx="59">
                  <c:v>-0.12185502968005611</c:v>
                </c:pt>
                <c:pt idx="60">
                  <c:v>-0.13679601622518378</c:v>
                </c:pt>
                <c:pt idx="61">
                  <c:v>-0.1967259560230834</c:v>
                </c:pt>
                <c:pt idx="62">
                  <c:v>-0.21361730384376731</c:v>
                </c:pt>
                <c:pt idx="63">
                  <c:v>-0.2158326384462288</c:v>
                </c:pt>
                <c:pt idx="64">
                  <c:v>-0.23144858234245741</c:v>
                </c:pt>
                <c:pt idx="65">
                  <c:v>-0.2396154662628634</c:v>
                </c:pt>
                <c:pt idx="66">
                  <c:v>-0.25191492797501386</c:v>
                </c:pt>
                <c:pt idx="67">
                  <c:v>-0.26535039915064784</c:v>
                </c:pt>
                <c:pt idx="68">
                  <c:v>-0.27596497505200457</c:v>
                </c:pt>
                <c:pt idx="69">
                  <c:v>-0.31328407784926421</c:v>
                </c:pt>
                <c:pt idx="70">
                  <c:v>-0.3165534678399588</c:v>
                </c:pt>
                <c:pt idx="71">
                  <c:v>-0.44783709085552936</c:v>
                </c:pt>
                <c:pt idx="72">
                  <c:v>-0.49218810438184374</c:v>
                </c:pt>
                <c:pt idx="73">
                  <c:v>-0.49576519029924004</c:v>
                </c:pt>
                <c:pt idx="74">
                  <c:v>-0.50527261604256823</c:v>
                </c:pt>
                <c:pt idx="75">
                  <c:v>-0.53584672560665592</c:v>
                </c:pt>
                <c:pt idx="76">
                  <c:v>-0.61452898163696357</c:v>
                </c:pt>
                <c:pt idx="77">
                  <c:v>-0.64463248056107703</c:v>
                </c:pt>
                <c:pt idx="78">
                  <c:v>-0.69496136879085935</c:v>
                </c:pt>
                <c:pt idx="79">
                  <c:v>-0.84612943291088705</c:v>
                </c:pt>
                <c:pt idx="80">
                  <c:v>-0.85066175239696151</c:v>
                </c:pt>
                <c:pt idx="81">
                  <c:v>-0.85327787081952244</c:v>
                </c:pt>
                <c:pt idx="82">
                  <c:v>-0.8599096449365391</c:v>
                </c:pt>
                <c:pt idx="83">
                  <c:v>-0.88034634558906011</c:v>
                </c:pt>
                <c:pt idx="84">
                  <c:v>-0.96618790833373736</c:v>
                </c:pt>
                <c:pt idx="85">
                  <c:v>-0.97126693092594685</c:v>
                </c:pt>
                <c:pt idx="86">
                  <c:v>-1.0247189265615917</c:v>
                </c:pt>
                <c:pt idx="87">
                  <c:v>-1.0288252461061063</c:v>
                </c:pt>
                <c:pt idx="88">
                  <c:v>-1.0629739905313036</c:v>
                </c:pt>
                <c:pt idx="89">
                  <c:v>-1.1716096579910775</c:v>
                </c:pt>
                <c:pt idx="90">
                  <c:v>-1.2297614333429219</c:v>
                </c:pt>
                <c:pt idx="91">
                  <c:v>-1.3634774141601531</c:v>
                </c:pt>
                <c:pt idx="92">
                  <c:v>-1.3765010186215847</c:v>
                </c:pt>
                <c:pt idx="93">
                  <c:v>-1.3931376861887823</c:v>
                </c:pt>
                <c:pt idx="94">
                  <c:v>-1.4694747458670676</c:v>
                </c:pt>
                <c:pt idx="95">
                  <c:v>-1.5208411227932006</c:v>
                </c:pt>
                <c:pt idx="96">
                  <c:v>-1.5210832924965039</c:v>
                </c:pt>
                <c:pt idx="97">
                  <c:v>-1.6655209203119945</c:v>
                </c:pt>
                <c:pt idx="98">
                  <c:v>-1.7993395168962349</c:v>
                </c:pt>
                <c:pt idx="99">
                  <c:v>-2.1169812827762793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C7-4EB9-90A6-1FE54AA8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984799"/>
        <c:axId val="1606972735"/>
      </c:scatterChart>
      <c:valAx>
        <c:axId val="1259198447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da MP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433279"/>
        <c:crosses val="autoZero"/>
        <c:crossBetween val="midCat"/>
      </c:valAx>
      <c:valAx>
        <c:axId val="12624332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Confiabildiade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198447"/>
        <c:crosses val="autoZero"/>
        <c:crossBetween val="midCat"/>
      </c:valAx>
      <c:valAx>
        <c:axId val="16069727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CDF Normal Padronizado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6984799"/>
        <c:crosses val="max"/>
        <c:crossBetween val="midCat"/>
      </c:valAx>
      <c:valAx>
        <c:axId val="1606984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697273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4095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'lognormal 2'!$C$1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'lognormal 2'!$A$2:$A$102</c:f>
              <c:numCache>
                <c:formatCode>General</c:formatCode>
                <c:ptCount val="101"/>
                <c:pt idx="0">
                  <c:v>14.6027</c:v>
                </c:pt>
                <c:pt idx="1">
                  <c:v>16.1995</c:v>
                </c:pt>
                <c:pt idx="2">
                  <c:v>16.657</c:v>
                </c:pt>
                <c:pt idx="3">
                  <c:v>16.659199999999998</c:v>
                </c:pt>
                <c:pt idx="4">
                  <c:v>17.288699999999999</c:v>
                </c:pt>
                <c:pt idx="5">
                  <c:v>17.4968</c:v>
                </c:pt>
                <c:pt idx="6">
                  <c:v>17.5944</c:v>
                </c:pt>
                <c:pt idx="7">
                  <c:v>18.015499999999999</c:v>
                </c:pt>
                <c:pt idx="8">
                  <c:v>18.292300000000001</c:v>
                </c:pt>
                <c:pt idx="9">
                  <c:v>18.538699999999999</c:v>
                </c:pt>
                <c:pt idx="10">
                  <c:v>18.6343</c:v>
                </c:pt>
                <c:pt idx="11">
                  <c:v>18.6723</c:v>
                </c:pt>
                <c:pt idx="12">
                  <c:v>18.799600000000002</c:v>
                </c:pt>
                <c:pt idx="13">
                  <c:v>18.803799999999999</c:v>
                </c:pt>
                <c:pt idx="14">
                  <c:v>18.818100000000001</c:v>
                </c:pt>
                <c:pt idx="15">
                  <c:v>18.9895</c:v>
                </c:pt>
                <c:pt idx="16">
                  <c:v>19.606000000000002</c:v>
                </c:pt>
                <c:pt idx="17">
                  <c:v>19.707699999999999</c:v>
                </c:pt>
                <c:pt idx="18">
                  <c:v>19.8857</c:v>
                </c:pt>
                <c:pt idx="19">
                  <c:v>20.3001</c:v>
                </c:pt>
                <c:pt idx="20">
                  <c:v>20.519300000000001</c:v>
                </c:pt>
                <c:pt idx="21">
                  <c:v>20.7392</c:v>
                </c:pt>
                <c:pt idx="22">
                  <c:v>20.837199999999999</c:v>
                </c:pt>
                <c:pt idx="23">
                  <c:v>20.8931</c:v>
                </c:pt>
                <c:pt idx="24">
                  <c:v>21.210999999999999</c:v>
                </c:pt>
                <c:pt idx="25">
                  <c:v>21.4666</c:v>
                </c:pt>
                <c:pt idx="26">
                  <c:v>21.526900000000001</c:v>
                </c:pt>
                <c:pt idx="27">
                  <c:v>21.5307</c:v>
                </c:pt>
                <c:pt idx="28">
                  <c:v>21.531500000000001</c:v>
                </c:pt>
                <c:pt idx="29">
                  <c:v>21.676300000000001</c:v>
                </c:pt>
                <c:pt idx="30">
                  <c:v>21.7089</c:v>
                </c:pt>
                <c:pt idx="31">
                  <c:v>21.828900000000001</c:v>
                </c:pt>
                <c:pt idx="32">
                  <c:v>21.9087</c:v>
                </c:pt>
                <c:pt idx="33">
                  <c:v>21.914899999999999</c:v>
                </c:pt>
                <c:pt idx="34">
                  <c:v>22.0505</c:v>
                </c:pt>
                <c:pt idx="35">
                  <c:v>22.261099999999999</c:v>
                </c:pt>
                <c:pt idx="36">
                  <c:v>22.3216</c:v>
                </c:pt>
                <c:pt idx="37">
                  <c:v>22.359500000000001</c:v>
                </c:pt>
                <c:pt idx="38">
                  <c:v>22.406500000000001</c:v>
                </c:pt>
                <c:pt idx="39">
                  <c:v>22.5001</c:v>
                </c:pt>
                <c:pt idx="40">
                  <c:v>22.605799999999999</c:v>
                </c:pt>
                <c:pt idx="41">
                  <c:v>22.6509</c:v>
                </c:pt>
                <c:pt idx="42">
                  <c:v>22.816400000000002</c:v>
                </c:pt>
                <c:pt idx="43">
                  <c:v>22.8415</c:v>
                </c:pt>
                <c:pt idx="44">
                  <c:v>22.855699999999999</c:v>
                </c:pt>
                <c:pt idx="45">
                  <c:v>22.880800000000001</c:v>
                </c:pt>
                <c:pt idx="46">
                  <c:v>23.226400000000002</c:v>
                </c:pt>
                <c:pt idx="47">
                  <c:v>23.286899999999999</c:v>
                </c:pt>
                <c:pt idx="48">
                  <c:v>23.678699999999999</c:v>
                </c:pt>
                <c:pt idx="49">
                  <c:v>23.75</c:v>
                </c:pt>
                <c:pt idx="50">
                  <c:v>23.862300000000001</c:v>
                </c:pt>
                <c:pt idx="51">
                  <c:v>23.870200000000001</c:v>
                </c:pt>
                <c:pt idx="52">
                  <c:v>23.955200000000001</c:v>
                </c:pt>
                <c:pt idx="53">
                  <c:v>24.039300000000001</c:v>
                </c:pt>
                <c:pt idx="54">
                  <c:v>24.061900000000001</c:v>
                </c:pt>
                <c:pt idx="55">
                  <c:v>24.165299999999998</c:v>
                </c:pt>
                <c:pt idx="56">
                  <c:v>24.173400000000001</c:v>
                </c:pt>
                <c:pt idx="57">
                  <c:v>24.4696</c:v>
                </c:pt>
                <c:pt idx="58">
                  <c:v>24.701499999999999</c:v>
                </c:pt>
                <c:pt idx="59">
                  <c:v>24.710899999999999</c:v>
                </c:pt>
                <c:pt idx="60">
                  <c:v>24.919</c:v>
                </c:pt>
                <c:pt idx="61">
                  <c:v>25.0212</c:v>
                </c:pt>
                <c:pt idx="62">
                  <c:v>25.466799999999999</c:v>
                </c:pt>
                <c:pt idx="63">
                  <c:v>25.504999999999999</c:v>
                </c:pt>
                <c:pt idx="64">
                  <c:v>25.743600000000001</c:v>
                </c:pt>
                <c:pt idx="65">
                  <c:v>25.866599999999998</c:v>
                </c:pt>
                <c:pt idx="66">
                  <c:v>25.901599999999998</c:v>
                </c:pt>
                <c:pt idx="67">
                  <c:v>25.9514</c:v>
                </c:pt>
                <c:pt idx="68">
                  <c:v>26.091699999999999</c:v>
                </c:pt>
                <c:pt idx="69">
                  <c:v>26.180800000000001</c:v>
                </c:pt>
                <c:pt idx="70">
                  <c:v>26.380500000000001</c:v>
                </c:pt>
                <c:pt idx="71">
                  <c:v>26.888100000000001</c:v>
                </c:pt>
                <c:pt idx="72">
                  <c:v>26.947800000000001</c:v>
                </c:pt>
                <c:pt idx="73">
                  <c:v>26.9496</c:v>
                </c:pt>
                <c:pt idx="74">
                  <c:v>27.028199999999998</c:v>
                </c:pt>
                <c:pt idx="75">
                  <c:v>27.198599999999999</c:v>
                </c:pt>
                <c:pt idx="76">
                  <c:v>27.312899999999999</c:v>
                </c:pt>
                <c:pt idx="77">
                  <c:v>27.389299999999999</c:v>
                </c:pt>
                <c:pt idx="78">
                  <c:v>27.415600000000001</c:v>
                </c:pt>
                <c:pt idx="79">
                  <c:v>27.5854</c:v>
                </c:pt>
                <c:pt idx="80">
                  <c:v>27.801100000000002</c:v>
                </c:pt>
                <c:pt idx="81">
                  <c:v>27.855699999999999</c:v>
                </c:pt>
                <c:pt idx="82">
                  <c:v>28.064599999999999</c:v>
                </c:pt>
                <c:pt idx="83">
                  <c:v>28.207000000000001</c:v>
                </c:pt>
                <c:pt idx="84">
                  <c:v>28.2254</c:v>
                </c:pt>
                <c:pt idx="85">
                  <c:v>28.3841</c:v>
                </c:pt>
                <c:pt idx="86">
                  <c:v>28.478300000000001</c:v>
                </c:pt>
                <c:pt idx="87">
                  <c:v>28.5428</c:v>
                </c:pt>
                <c:pt idx="88">
                  <c:v>28.770399999999999</c:v>
                </c:pt>
                <c:pt idx="89">
                  <c:v>29.3126</c:v>
                </c:pt>
                <c:pt idx="90">
                  <c:v>29.362200000000001</c:v>
                </c:pt>
                <c:pt idx="91">
                  <c:v>29.6309</c:v>
                </c:pt>
                <c:pt idx="92">
                  <c:v>29.948</c:v>
                </c:pt>
                <c:pt idx="93">
                  <c:v>30.608799999999999</c:v>
                </c:pt>
                <c:pt idx="94">
                  <c:v>31.251200000000001</c:v>
                </c:pt>
                <c:pt idx="95">
                  <c:v>31.846</c:v>
                </c:pt>
                <c:pt idx="96">
                  <c:v>32.269100000000002</c:v>
                </c:pt>
                <c:pt idx="97">
                  <c:v>32.846600000000002</c:v>
                </c:pt>
                <c:pt idx="98">
                  <c:v>34.361199999999997</c:v>
                </c:pt>
                <c:pt idx="99">
                  <c:v>35.655099999999997</c:v>
                </c:pt>
              </c:numCache>
            </c:numRef>
          </c:xVal>
          <c:yVal>
            <c:numRef>
              <c:f>'lognormal 2'!$C$2:$C$102</c:f>
              <c:numCache>
                <c:formatCode>0%</c:formatCode>
                <c:ptCount val="101"/>
                <c:pt idx="0">
                  <c:v>0.99549426653532591</c:v>
                </c:pt>
                <c:pt idx="1">
                  <c:v>0.98013088141482063</c:v>
                </c:pt>
                <c:pt idx="2">
                  <c:v>0.97177613873277047</c:v>
                </c:pt>
                <c:pt idx="3">
                  <c:v>0.97173044781525419</c:v>
                </c:pt>
                <c:pt idx="4">
                  <c:v>0.95624114740388777</c:v>
                </c:pt>
                <c:pt idx="5">
                  <c:v>0.94998615783510454</c:v>
                </c:pt>
                <c:pt idx="6">
                  <c:v>0.9468452817229438</c:v>
                </c:pt>
                <c:pt idx="7">
                  <c:v>0.93171622393210418</c:v>
                </c:pt>
                <c:pt idx="8">
                  <c:v>0.92032963726804118</c:v>
                </c:pt>
                <c:pt idx="9">
                  <c:v>0.90920510184761971</c:v>
                </c:pt>
                <c:pt idx="10">
                  <c:v>0.90463573790319252</c:v>
                </c:pt>
                <c:pt idx="11">
                  <c:v>0.90278002977572513</c:v>
                </c:pt>
                <c:pt idx="12">
                  <c:v>0.8963998841865356</c:v>
                </c:pt>
                <c:pt idx="13">
                  <c:v>0.89618509364045651</c:v>
                </c:pt>
                <c:pt idx="14">
                  <c:v>0.89545172879906187</c:v>
                </c:pt>
                <c:pt idx="15">
                  <c:v>0.88641482437113506</c:v>
                </c:pt>
                <c:pt idx="16">
                  <c:v>0.85019778066945795</c:v>
                </c:pt>
                <c:pt idx="17">
                  <c:v>0.84367949971017975</c:v>
                </c:pt>
                <c:pt idx="18">
                  <c:v>0.83191457977022232</c:v>
                </c:pt>
                <c:pt idx="19">
                  <c:v>0.80284191522245607</c:v>
                </c:pt>
                <c:pt idx="20">
                  <c:v>0.78656881262331957</c:v>
                </c:pt>
                <c:pt idx="21">
                  <c:v>0.76966952801636124</c:v>
                </c:pt>
                <c:pt idx="22">
                  <c:v>0.76196373973112719</c:v>
                </c:pt>
                <c:pt idx="23">
                  <c:v>0.75752228682328071</c:v>
                </c:pt>
                <c:pt idx="24">
                  <c:v>0.73166846485242842</c:v>
                </c:pt>
                <c:pt idx="25">
                  <c:v>0.71021534933388308</c:v>
                </c:pt>
                <c:pt idx="26">
                  <c:v>0.70507698705432864</c:v>
                </c:pt>
                <c:pt idx="27">
                  <c:v>0.70475225041205958</c:v>
                </c:pt>
                <c:pt idx="28">
                  <c:v>0.70468387100293595</c:v>
                </c:pt>
                <c:pt idx="29">
                  <c:v>0.6922306711919306</c:v>
                </c:pt>
                <c:pt idx="30">
                  <c:v>0.68940682288815469</c:v>
                </c:pt>
                <c:pt idx="31">
                  <c:v>0.67895289917363144</c:v>
                </c:pt>
                <c:pt idx="32">
                  <c:v>0.67195237473160274</c:v>
                </c:pt>
                <c:pt idx="33">
                  <c:v>0.67140693754093972</c:v>
                </c:pt>
                <c:pt idx="34">
                  <c:v>0.65942581461451022</c:v>
                </c:pt>
                <c:pt idx="35">
                  <c:v>0.6406426540832344</c:v>
                </c:pt>
                <c:pt idx="36">
                  <c:v>0.63521287471559895</c:v>
                </c:pt>
                <c:pt idx="37">
                  <c:v>0.63180467729429068</c:v>
                </c:pt>
                <c:pt idx="38">
                  <c:v>0.62757143610208443</c:v>
                </c:pt>
                <c:pt idx="39">
                  <c:v>0.6191207996275887</c:v>
                </c:pt>
                <c:pt idx="40">
                  <c:v>0.60954976269947314</c:v>
                </c:pt>
                <c:pt idx="41">
                  <c:v>0.60545836513789131</c:v>
                </c:pt>
                <c:pt idx="42">
                  <c:v>0.59041455898313244</c:v>
                </c:pt>
                <c:pt idx="43">
                  <c:v>0.58812982319717777</c:v>
                </c:pt>
                <c:pt idx="44">
                  <c:v>0.58683698898022563</c:v>
                </c:pt>
                <c:pt idx="45">
                  <c:v>0.58455133534484438</c:v>
                </c:pt>
                <c:pt idx="46">
                  <c:v>0.55306486025850266</c:v>
                </c:pt>
                <c:pt idx="47">
                  <c:v>0.54755863453962794</c:v>
                </c:pt>
                <c:pt idx="48">
                  <c:v>0.51205643519168664</c:v>
                </c:pt>
                <c:pt idx="49">
                  <c:v>0.50563877255987921</c:v>
                </c:pt>
                <c:pt idx="50">
                  <c:v>0.49556711673613785</c:v>
                </c:pt>
                <c:pt idx="51">
                  <c:v>0.49486042381559209</c:v>
                </c:pt>
                <c:pt idx="52">
                  <c:v>0.48727316943111837</c:v>
                </c:pt>
                <c:pt idx="53">
                  <c:v>0.47979768562337988</c:v>
                </c:pt>
                <c:pt idx="54">
                  <c:v>0.47779448518827311</c:v>
                </c:pt>
                <c:pt idx="55">
                  <c:v>0.46866196349756739</c:v>
                </c:pt>
                <c:pt idx="56">
                  <c:v>0.46794889381808219</c:v>
                </c:pt>
                <c:pt idx="57">
                  <c:v>0.44213098426685465</c:v>
                </c:pt>
                <c:pt idx="58">
                  <c:v>0.42230719598966038</c:v>
                </c:pt>
                <c:pt idx="59">
                  <c:v>0.42151154357575071</c:v>
                </c:pt>
                <c:pt idx="60">
                  <c:v>0.40406515837854345</c:v>
                </c:pt>
                <c:pt idx="61">
                  <c:v>0.39561958166551014</c:v>
                </c:pt>
                <c:pt idx="62">
                  <c:v>0.359817922186425</c:v>
                </c:pt>
                <c:pt idx="63">
                  <c:v>0.35683020731023851</c:v>
                </c:pt>
                <c:pt idx="64">
                  <c:v>0.33847564275283237</c:v>
                </c:pt>
                <c:pt idx="65">
                  <c:v>0.32922549730970746</c:v>
                </c:pt>
                <c:pt idx="66">
                  <c:v>0.32662024648454296</c:v>
                </c:pt>
                <c:pt idx="67">
                  <c:v>0.32293410219985325</c:v>
                </c:pt>
                <c:pt idx="68">
                  <c:v>0.31268165334144943</c:v>
                </c:pt>
                <c:pt idx="69">
                  <c:v>0.30627330176297968</c:v>
                </c:pt>
                <c:pt idx="70">
                  <c:v>0.29220439699742629</c:v>
                </c:pt>
                <c:pt idx="71">
                  <c:v>0.25831457443574829</c:v>
                </c:pt>
                <c:pt idx="72">
                  <c:v>0.25450778944275687</c:v>
                </c:pt>
                <c:pt idx="73">
                  <c:v>0.25439360158500857</c:v>
                </c:pt>
                <c:pt idx="74">
                  <c:v>0.24944109176391396</c:v>
                </c:pt>
                <c:pt idx="75">
                  <c:v>0.23893088452008529</c:v>
                </c:pt>
                <c:pt idx="76">
                  <c:v>0.23205482264565422</c:v>
                </c:pt>
                <c:pt idx="77">
                  <c:v>0.22753661288432844</c:v>
                </c:pt>
                <c:pt idx="78">
                  <c:v>0.22599568687165866</c:v>
                </c:pt>
                <c:pt idx="79">
                  <c:v>0.2162246390118322</c:v>
                </c:pt>
                <c:pt idx="80">
                  <c:v>0.20425428352971861</c:v>
                </c:pt>
                <c:pt idx="81">
                  <c:v>0.20130229957838555</c:v>
                </c:pt>
                <c:pt idx="82">
                  <c:v>0.19029708690700442</c:v>
                </c:pt>
                <c:pt idx="83">
                  <c:v>0.18305600319902091</c:v>
                </c:pt>
                <c:pt idx="84">
                  <c:v>0.18213566536321596</c:v>
                </c:pt>
                <c:pt idx="85">
                  <c:v>0.17434208760278949</c:v>
                </c:pt>
                <c:pt idx="86">
                  <c:v>0.16983753657409656</c:v>
                </c:pt>
                <c:pt idx="87">
                  <c:v>0.16680497142749398</c:v>
                </c:pt>
                <c:pt idx="88">
                  <c:v>0.15643637270493435</c:v>
                </c:pt>
                <c:pt idx="89">
                  <c:v>0.13376459070884017</c:v>
                </c:pt>
                <c:pt idx="90">
                  <c:v>0.13182893232644613</c:v>
                </c:pt>
                <c:pt idx="91">
                  <c:v>0.12173148783901053</c:v>
                </c:pt>
                <c:pt idx="92">
                  <c:v>0.11063474464287328</c:v>
                </c:pt>
                <c:pt idx="93">
                  <c:v>9.0185079664344733E-2</c:v>
                </c:pt>
                <c:pt idx="94">
                  <c:v>7.3461754227502979E-2</c:v>
                </c:pt>
                <c:pt idx="95">
                  <c:v>6.0432044771801641E-2</c:v>
                </c:pt>
                <c:pt idx="96">
                  <c:v>5.2439317808410824E-2</c:v>
                </c:pt>
                <c:pt idx="97">
                  <c:v>4.3043592392641022E-2</c:v>
                </c:pt>
                <c:pt idx="98">
                  <c:v>2.515378247949307E-2</c:v>
                </c:pt>
                <c:pt idx="99">
                  <c:v>1.5581183596643707E-2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41-4802-A177-A8166E0FE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765471"/>
        <c:axId val="1531764639"/>
      </c:scatterChart>
      <c:scatterChart>
        <c:scatterStyle val="smoothMarker"/>
        <c:varyColors val="0"/>
        <c:ser>
          <c:idx val="0"/>
          <c:order val="1"/>
          <c:tx>
            <c:v>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'lognormal 2'!$A$2:$A$101</c:f>
              <c:numCache>
                <c:formatCode>General</c:formatCode>
                <c:ptCount val="100"/>
                <c:pt idx="0">
                  <c:v>14.6027</c:v>
                </c:pt>
                <c:pt idx="1">
                  <c:v>16.1995</c:v>
                </c:pt>
                <c:pt idx="2">
                  <c:v>16.657</c:v>
                </c:pt>
                <c:pt idx="3">
                  <c:v>16.659199999999998</c:v>
                </c:pt>
                <c:pt idx="4">
                  <c:v>17.288699999999999</c:v>
                </c:pt>
                <c:pt idx="5">
                  <c:v>17.4968</c:v>
                </c:pt>
                <c:pt idx="6">
                  <c:v>17.5944</c:v>
                </c:pt>
                <c:pt idx="7">
                  <c:v>18.015499999999999</c:v>
                </c:pt>
                <c:pt idx="8">
                  <c:v>18.292300000000001</c:v>
                </c:pt>
                <c:pt idx="9">
                  <c:v>18.538699999999999</c:v>
                </c:pt>
                <c:pt idx="10">
                  <c:v>18.6343</c:v>
                </c:pt>
                <c:pt idx="11">
                  <c:v>18.6723</c:v>
                </c:pt>
                <c:pt idx="12">
                  <c:v>18.799600000000002</c:v>
                </c:pt>
                <c:pt idx="13">
                  <c:v>18.803799999999999</c:v>
                </c:pt>
                <c:pt idx="14">
                  <c:v>18.818100000000001</c:v>
                </c:pt>
                <c:pt idx="15">
                  <c:v>18.9895</c:v>
                </c:pt>
                <c:pt idx="16">
                  <c:v>19.606000000000002</c:v>
                </c:pt>
                <c:pt idx="17">
                  <c:v>19.707699999999999</c:v>
                </c:pt>
                <c:pt idx="18">
                  <c:v>19.8857</c:v>
                </c:pt>
                <c:pt idx="19">
                  <c:v>20.3001</c:v>
                </c:pt>
                <c:pt idx="20">
                  <c:v>20.519300000000001</c:v>
                </c:pt>
                <c:pt idx="21">
                  <c:v>20.7392</c:v>
                </c:pt>
                <c:pt idx="22">
                  <c:v>20.837199999999999</c:v>
                </c:pt>
                <c:pt idx="23">
                  <c:v>20.8931</c:v>
                </c:pt>
                <c:pt idx="24">
                  <c:v>21.210999999999999</c:v>
                </c:pt>
                <c:pt idx="25">
                  <c:v>21.4666</c:v>
                </c:pt>
                <c:pt idx="26">
                  <c:v>21.526900000000001</c:v>
                </c:pt>
                <c:pt idx="27">
                  <c:v>21.5307</c:v>
                </c:pt>
                <c:pt idx="28">
                  <c:v>21.531500000000001</c:v>
                </c:pt>
                <c:pt idx="29">
                  <c:v>21.676300000000001</c:v>
                </c:pt>
                <c:pt idx="30">
                  <c:v>21.7089</c:v>
                </c:pt>
                <c:pt idx="31">
                  <c:v>21.828900000000001</c:v>
                </c:pt>
                <c:pt idx="32">
                  <c:v>21.9087</c:v>
                </c:pt>
                <c:pt idx="33">
                  <c:v>21.914899999999999</c:v>
                </c:pt>
                <c:pt idx="34">
                  <c:v>22.0505</c:v>
                </c:pt>
                <c:pt idx="35">
                  <c:v>22.261099999999999</c:v>
                </c:pt>
                <c:pt idx="36">
                  <c:v>22.3216</c:v>
                </c:pt>
                <c:pt idx="37">
                  <c:v>22.359500000000001</c:v>
                </c:pt>
                <c:pt idx="38">
                  <c:v>22.406500000000001</c:v>
                </c:pt>
                <c:pt idx="39">
                  <c:v>22.5001</c:v>
                </c:pt>
                <c:pt idx="40">
                  <c:v>22.605799999999999</c:v>
                </c:pt>
                <c:pt idx="41">
                  <c:v>22.6509</c:v>
                </c:pt>
                <c:pt idx="42">
                  <c:v>22.816400000000002</c:v>
                </c:pt>
                <c:pt idx="43">
                  <c:v>22.8415</c:v>
                </c:pt>
                <c:pt idx="44">
                  <c:v>22.855699999999999</c:v>
                </c:pt>
                <c:pt idx="45">
                  <c:v>22.880800000000001</c:v>
                </c:pt>
                <c:pt idx="46">
                  <c:v>23.226400000000002</c:v>
                </c:pt>
                <c:pt idx="47">
                  <c:v>23.286899999999999</c:v>
                </c:pt>
                <c:pt idx="48">
                  <c:v>23.678699999999999</c:v>
                </c:pt>
                <c:pt idx="49">
                  <c:v>23.75</c:v>
                </c:pt>
                <c:pt idx="50">
                  <c:v>23.862300000000001</c:v>
                </c:pt>
                <c:pt idx="51">
                  <c:v>23.870200000000001</c:v>
                </c:pt>
                <c:pt idx="52">
                  <c:v>23.955200000000001</c:v>
                </c:pt>
                <c:pt idx="53">
                  <c:v>24.039300000000001</c:v>
                </c:pt>
                <c:pt idx="54">
                  <c:v>24.061900000000001</c:v>
                </c:pt>
                <c:pt idx="55">
                  <c:v>24.165299999999998</c:v>
                </c:pt>
                <c:pt idx="56">
                  <c:v>24.173400000000001</c:v>
                </c:pt>
                <c:pt idx="57">
                  <c:v>24.4696</c:v>
                </c:pt>
                <c:pt idx="58">
                  <c:v>24.701499999999999</c:v>
                </c:pt>
                <c:pt idx="59">
                  <c:v>24.710899999999999</c:v>
                </c:pt>
                <c:pt idx="60">
                  <c:v>24.919</c:v>
                </c:pt>
                <c:pt idx="61">
                  <c:v>25.0212</c:v>
                </c:pt>
                <c:pt idx="62">
                  <c:v>25.466799999999999</c:v>
                </c:pt>
                <c:pt idx="63">
                  <c:v>25.504999999999999</c:v>
                </c:pt>
                <c:pt idx="64">
                  <c:v>25.743600000000001</c:v>
                </c:pt>
                <c:pt idx="65">
                  <c:v>25.866599999999998</c:v>
                </c:pt>
                <c:pt idx="66">
                  <c:v>25.901599999999998</c:v>
                </c:pt>
                <c:pt idx="67">
                  <c:v>25.9514</c:v>
                </c:pt>
                <c:pt idx="68">
                  <c:v>26.091699999999999</c:v>
                </c:pt>
                <c:pt idx="69">
                  <c:v>26.180800000000001</c:v>
                </c:pt>
                <c:pt idx="70">
                  <c:v>26.380500000000001</c:v>
                </c:pt>
                <c:pt idx="71">
                  <c:v>26.888100000000001</c:v>
                </c:pt>
                <c:pt idx="72">
                  <c:v>26.947800000000001</c:v>
                </c:pt>
                <c:pt idx="73">
                  <c:v>26.9496</c:v>
                </c:pt>
                <c:pt idx="74">
                  <c:v>27.028199999999998</c:v>
                </c:pt>
                <c:pt idx="75">
                  <c:v>27.198599999999999</c:v>
                </c:pt>
                <c:pt idx="76">
                  <c:v>27.312899999999999</c:v>
                </c:pt>
                <c:pt idx="77">
                  <c:v>27.389299999999999</c:v>
                </c:pt>
                <c:pt idx="78">
                  <c:v>27.415600000000001</c:v>
                </c:pt>
                <c:pt idx="79">
                  <c:v>27.5854</c:v>
                </c:pt>
                <c:pt idx="80">
                  <c:v>27.801100000000002</c:v>
                </c:pt>
                <c:pt idx="81">
                  <c:v>27.855699999999999</c:v>
                </c:pt>
                <c:pt idx="82">
                  <c:v>28.064599999999999</c:v>
                </c:pt>
                <c:pt idx="83">
                  <c:v>28.207000000000001</c:v>
                </c:pt>
                <c:pt idx="84">
                  <c:v>28.2254</c:v>
                </c:pt>
                <c:pt idx="85">
                  <c:v>28.3841</c:v>
                </c:pt>
                <c:pt idx="86">
                  <c:v>28.478300000000001</c:v>
                </c:pt>
                <c:pt idx="87">
                  <c:v>28.5428</c:v>
                </c:pt>
                <c:pt idx="88">
                  <c:v>28.770399999999999</c:v>
                </c:pt>
                <c:pt idx="89">
                  <c:v>29.3126</c:v>
                </c:pt>
                <c:pt idx="90">
                  <c:v>29.362200000000001</c:v>
                </c:pt>
                <c:pt idx="91">
                  <c:v>29.6309</c:v>
                </c:pt>
                <c:pt idx="92">
                  <c:v>29.948</c:v>
                </c:pt>
                <c:pt idx="93">
                  <c:v>30.608799999999999</c:v>
                </c:pt>
                <c:pt idx="94">
                  <c:v>31.251200000000001</c:v>
                </c:pt>
                <c:pt idx="95">
                  <c:v>31.846</c:v>
                </c:pt>
                <c:pt idx="96">
                  <c:v>32.269100000000002</c:v>
                </c:pt>
                <c:pt idx="97">
                  <c:v>32.846600000000002</c:v>
                </c:pt>
                <c:pt idx="98">
                  <c:v>34.361199999999997</c:v>
                </c:pt>
                <c:pt idx="99">
                  <c:v>35.655099999999997</c:v>
                </c:pt>
              </c:numCache>
            </c:numRef>
          </c:xVal>
          <c:yVal>
            <c:numRef>
              <c:f>'lognormal 2'!$B$2:$B$101</c:f>
              <c:numCache>
                <c:formatCode>General</c:formatCode>
                <c:ptCount val="100"/>
                <c:pt idx="0">
                  <c:v>2.6172006676588908</c:v>
                </c:pt>
                <c:pt idx="1">
                  <c:v>2.061806621736114</c:v>
                </c:pt>
                <c:pt idx="2">
                  <c:v>1.9127535941524103</c:v>
                </c:pt>
                <c:pt idx="3">
                  <c:v>1.9120467719979122</c:v>
                </c:pt>
                <c:pt idx="4">
                  <c:v>1.7135399039952921</c:v>
                </c:pt>
                <c:pt idx="5">
                  <c:v>1.6495042360966308</c:v>
                </c:pt>
                <c:pt idx="6">
                  <c:v>1.6197330834001094</c:v>
                </c:pt>
                <c:pt idx="7">
                  <c:v>1.4931494186342342</c:v>
                </c:pt>
                <c:pt idx="8">
                  <c:v>1.4115442816878003</c:v>
                </c:pt>
                <c:pt idx="9">
                  <c:v>1.3399337983932738</c:v>
                </c:pt>
                <c:pt idx="10">
                  <c:v>1.3124058293888037</c:v>
                </c:pt>
                <c:pt idx="11">
                  <c:v>1.3015029549986397</c:v>
                </c:pt>
                <c:pt idx="12">
                  <c:v>1.2651393197746779</c:v>
                </c:pt>
                <c:pt idx="13">
                  <c:v>1.2639437770242539</c:v>
                </c:pt>
                <c:pt idx="14">
                  <c:v>1.2598752400587401</c:v>
                </c:pt>
                <c:pt idx="15">
                  <c:v>1.211348891215434</c:v>
                </c:pt>
                <c:pt idx="16">
                  <c:v>1.0403566980892895</c:v>
                </c:pt>
                <c:pt idx="17">
                  <c:v>1.0126668269300234</c:v>
                </c:pt>
                <c:pt idx="18">
                  <c:v>0.96454489401834709</c:v>
                </c:pt>
                <c:pt idx="19">
                  <c:v>0.85416106478504739</c:v>
                </c:pt>
                <c:pt idx="20">
                  <c:v>0.79668049821383358</c:v>
                </c:pt>
                <c:pt idx="21">
                  <c:v>0.73963007904925937</c:v>
                </c:pt>
                <c:pt idx="22">
                  <c:v>0.71439974907574144</c:v>
                </c:pt>
                <c:pt idx="23">
                  <c:v>0.70006125658082752</c:v>
                </c:pt>
                <c:pt idx="24">
                  <c:v>0.61924153967261442</c:v>
                </c:pt>
                <c:pt idx="25">
                  <c:v>0.55513401825916886</c:v>
                </c:pt>
                <c:pt idx="26">
                  <c:v>0.54012135552764773</c:v>
                </c:pt>
                <c:pt idx="27">
                  <c:v>0.53917669294982251</c:v>
                </c:pt>
                <c:pt idx="28">
                  <c:v>0.53897783786255238</c:v>
                </c:pt>
                <c:pt idx="29">
                  <c:v>0.50310621985024595</c:v>
                </c:pt>
                <c:pt idx="30">
                  <c:v>0.49506320240774471</c:v>
                </c:pt>
                <c:pt idx="31">
                  <c:v>0.46556070381283426</c:v>
                </c:pt>
                <c:pt idx="32">
                  <c:v>0.4460311933407517</c:v>
                </c:pt>
                <c:pt idx="33">
                  <c:v>0.44451684225224841</c:v>
                </c:pt>
                <c:pt idx="34">
                  <c:v>0.4115032357559128</c:v>
                </c:pt>
                <c:pt idx="35">
                  <c:v>0.36063026050264463</c:v>
                </c:pt>
                <c:pt idx="36">
                  <c:v>0.34610472315684115</c:v>
                </c:pt>
                <c:pt idx="37">
                  <c:v>0.33702529722155511</c:v>
                </c:pt>
                <c:pt idx="38">
                  <c:v>0.32578720323937549</c:v>
                </c:pt>
                <c:pt idx="39">
                  <c:v>0.30347670672396898</c:v>
                </c:pt>
                <c:pt idx="40">
                  <c:v>0.27839336689011313</c:v>
                </c:pt>
                <c:pt idx="41">
                  <c:v>0.26772650345316368</c:v>
                </c:pt>
                <c:pt idx="42">
                  <c:v>0.2287642844072795</c:v>
                </c:pt>
                <c:pt idx="43">
                  <c:v>0.22287990366880284</c:v>
                </c:pt>
                <c:pt idx="44">
                  <c:v>0.21955375466642535</c:v>
                </c:pt>
                <c:pt idx="45">
                  <c:v>0.21367948647304685</c:v>
                </c:pt>
                <c:pt idx="46">
                  <c:v>0.1334459286264422</c:v>
                </c:pt>
                <c:pt idx="47">
                  <c:v>0.11952329485260929</c:v>
                </c:pt>
                <c:pt idx="48">
                  <c:v>3.0226151829179572E-2</c:v>
                </c:pt>
                <c:pt idx="49">
                  <c:v>1.413483564311655E-2</c:v>
                </c:pt>
                <c:pt idx="50">
                  <c:v>-1.111184769219844E-2</c:v>
                </c:pt>
                <c:pt idx="51">
                  <c:v>-1.2883407613837059E-2</c:v>
                </c:pt>
                <c:pt idx="52">
                  <c:v>-3.1907489407253929E-2</c:v>
                </c:pt>
                <c:pt idx="53">
                  <c:v>-5.0663820966837074E-2</c:v>
                </c:pt>
                <c:pt idx="54">
                  <c:v>-5.5692981429542161E-2</c:v>
                </c:pt>
                <c:pt idx="55">
                  <c:v>-7.8642421220460765E-2</c:v>
                </c:pt>
                <c:pt idx="56">
                  <c:v>-8.0436051756317323E-2</c:v>
                </c:pt>
                <c:pt idx="57">
                  <c:v>-0.14561584865985622</c:v>
                </c:pt>
                <c:pt idx="58">
                  <c:v>-0.19609789802874833</c:v>
                </c:pt>
                <c:pt idx="59">
                  <c:v>-0.19813416559083738</c:v>
                </c:pt>
                <c:pt idx="60">
                  <c:v>-0.24301636778006033</c:v>
                </c:pt>
                <c:pt idx="61">
                  <c:v>-0.26492141316640666</c:v>
                </c:pt>
                <c:pt idx="62">
                  <c:v>-0.35939517842017393</c:v>
                </c:pt>
                <c:pt idx="63">
                  <c:v>-0.36741706295220528</c:v>
                </c:pt>
                <c:pt idx="64">
                  <c:v>-0.41725206769434325</c:v>
                </c:pt>
                <c:pt idx="65">
                  <c:v>-0.44276223601668402</c:v>
                </c:pt>
                <c:pt idx="66">
                  <c:v>-0.44999905947913321</c:v>
                </c:pt>
                <c:pt idx="67">
                  <c:v>-0.46027918744922408</c:v>
                </c:pt>
                <c:pt idx="68">
                  <c:v>-0.48913534482238069</c:v>
                </c:pt>
                <c:pt idx="69">
                  <c:v>-0.50738050942989021</c:v>
                </c:pt>
                <c:pt idx="70">
                  <c:v>-0.54804890030809483</c:v>
                </c:pt>
                <c:pt idx="71">
                  <c:v>-0.65005036516026693</c:v>
                </c:pt>
                <c:pt idx="72">
                  <c:v>-0.66192022153327001</c:v>
                </c:pt>
                <c:pt idx="73">
                  <c:v>-0.66227769813636417</c:v>
                </c:pt>
                <c:pt idx="74">
                  <c:v>-0.67786426998171601</c:v>
                </c:pt>
                <c:pt idx="75">
                  <c:v>-0.71149993166740833</c:v>
                </c:pt>
                <c:pt idx="76">
                  <c:v>-0.73394400436325369</c:v>
                </c:pt>
                <c:pt idx="77">
                  <c:v>-0.74889368036548232</c:v>
                </c:pt>
                <c:pt idx="78">
                  <c:v>-0.7540303226761329</c:v>
                </c:pt>
                <c:pt idx="79">
                  <c:v>-0.78707575306272037</c:v>
                </c:pt>
                <c:pt idx="80">
                  <c:v>-0.82876186125325202</c:v>
                </c:pt>
                <c:pt idx="81">
                  <c:v>-0.83926254265158662</c:v>
                </c:pt>
                <c:pt idx="82">
                  <c:v>-0.87924908941977697</c:v>
                </c:pt>
                <c:pt idx="83">
                  <c:v>-0.90633631877597798</c:v>
                </c:pt>
                <c:pt idx="84">
                  <c:v>-0.90982637360889251</c:v>
                </c:pt>
                <c:pt idx="85">
                  <c:v>-0.93983400235070325</c:v>
                </c:pt>
                <c:pt idx="86">
                  <c:v>-0.95756646470735529</c:v>
                </c:pt>
                <c:pt idx="87">
                  <c:v>-0.96967432054426805</c:v>
                </c:pt>
                <c:pt idx="88">
                  <c:v>-1.0121815516208432</c:v>
                </c:pt>
                <c:pt idx="89">
                  <c:v>-1.1121046797936864</c:v>
                </c:pt>
                <c:pt idx="90">
                  <c:v>-1.1211531069518179</c:v>
                </c:pt>
                <c:pt idx="91">
                  <c:v>-1.1699073461805176</c:v>
                </c:pt>
                <c:pt idx="92">
                  <c:v>-1.226877946375738</c:v>
                </c:pt>
                <c:pt idx="93">
                  <c:v>-1.3436845208231651</c:v>
                </c:pt>
                <c:pt idx="94">
                  <c:v>-1.4548459602332202</c:v>
                </c:pt>
                <c:pt idx="95">
                  <c:v>-1.5557518856576005</c:v>
                </c:pt>
                <c:pt idx="96">
                  <c:v>-1.626388835567671</c:v>
                </c:pt>
                <c:pt idx="97">
                  <c:v>-1.7213225764199847</c:v>
                </c:pt>
                <c:pt idx="98">
                  <c:v>-1.9625878099526057</c:v>
                </c:pt>
                <c:pt idx="99">
                  <c:v>-2.1604186223931308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41-4802-A177-A8166E0FE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502879"/>
        <c:axId val="1570501631"/>
      </c:scatterChart>
      <c:valAx>
        <c:axId val="1531765471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</a:t>
                </a:r>
                <a:r>
                  <a:rPr lang="pt-BR" baseline="0"/>
                  <a:t> da MP [h]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764639"/>
        <c:crosses val="autoZero"/>
        <c:crossBetween val="midCat"/>
      </c:valAx>
      <c:valAx>
        <c:axId val="1531764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Confiabildiade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765471"/>
        <c:crosses val="autoZero"/>
        <c:crossBetween val="midCat"/>
      </c:valAx>
      <c:valAx>
        <c:axId val="15705016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CDF Normal Padronizado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0502879"/>
        <c:crosses val="max"/>
        <c:crossBetween val="midCat"/>
      </c:valAx>
      <c:valAx>
        <c:axId val="1570502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050163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1890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'lognormal 3'!$C$1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'lognormal 3'!$A$2:$A$102</c:f>
              <c:numCache>
                <c:formatCode>General</c:formatCode>
                <c:ptCount val="101"/>
                <c:pt idx="0">
                  <c:v>214.8852</c:v>
                </c:pt>
                <c:pt idx="1">
                  <c:v>226.2123</c:v>
                </c:pt>
                <c:pt idx="2">
                  <c:v>226.50819999999999</c:v>
                </c:pt>
                <c:pt idx="3">
                  <c:v>232.80719999999999</c:v>
                </c:pt>
                <c:pt idx="4">
                  <c:v>234.2604</c:v>
                </c:pt>
                <c:pt idx="5">
                  <c:v>234.4452</c:v>
                </c:pt>
                <c:pt idx="6">
                  <c:v>235.5581</c:v>
                </c:pt>
                <c:pt idx="7">
                  <c:v>235.6893</c:v>
                </c:pt>
                <c:pt idx="8">
                  <c:v>236.88749999999999</c:v>
                </c:pt>
                <c:pt idx="9">
                  <c:v>237.80199999999999</c:v>
                </c:pt>
                <c:pt idx="10">
                  <c:v>237.90280000000001</c:v>
                </c:pt>
                <c:pt idx="11">
                  <c:v>238.71010000000001</c:v>
                </c:pt>
                <c:pt idx="12">
                  <c:v>239.12899999999999</c:v>
                </c:pt>
                <c:pt idx="13">
                  <c:v>239.59690000000001</c:v>
                </c:pt>
                <c:pt idx="14">
                  <c:v>240.4718</c:v>
                </c:pt>
                <c:pt idx="15">
                  <c:v>241.44149999999999</c:v>
                </c:pt>
                <c:pt idx="16">
                  <c:v>241.49860000000001</c:v>
                </c:pt>
                <c:pt idx="17">
                  <c:v>241.56620000000001</c:v>
                </c:pt>
                <c:pt idx="18">
                  <c:v>241.80619999999999</c:v>
                </c:pt>
                <c:pt idx="19">
                  <c:v>242.2062</c:v>
                </c:pt>
                <c:pt idx="20">
                  <c:v>242.55619999999999</c:v>
                </c:pt>
                <c:pt idx="21">
                  <c:v>242.9811</c:v>
                </c:pt>
                <c:pt idx="22">
                  <c:v>243.98660000000001</c:v>
                </c:pt>
                <c:pt idx="23">
                  <c:v>244.14660000000001</c:v>
                </c:pt>
                <c:pt idx="24">
                  <c:v>244.3381</c:v>
                </c:pt>
                <c:pt idx="25">
                  <c:v>245.1738</c:v>
                </c:pt>
                <c:pt idx="26">
                  <c:v>245.42850000000001</c:v>
                </c:pt>
                <c:pt idx="27">
                  <c:v>246.27010000000001</c:v>
                </c:pt>
                <c:pt idx="28">
                  <c:v>246.74260000000001</c:v>
                </c:pt>
                <c:pt idx="29">
                  <c:v>246.82660000000001</c:v>
                </c:pt>
                <c:pt idx="30">
                  <c:v>246.9478</c:v>
                </c:pt>
                <c:pt idx="31">
                  <c:v>247.17189999999999</c:v>
                </c:pt>
                <c:pt idx="32">
                  <c:v>247.54820000000001</c:v>
                </c:pt>
                <c:pt idx="33">
                  <c:v>247.58940000000001</c:v>
                </c:pt>
                <c:pt idx="34">
                  <c:v>248.40379999999999</c:v>
                </c:pt>
                <c:pt idx="35">
                  <c:v>248.91890000000001</c:v>
                </c:pt>
                <c:pt idx="36">
                  <c:v>249.03270000000001</c:v>
                </c:pt>
                <c:pt idx="37">
                  <c:v>249.80850000000001</c:v>
                </c:pt>
                <c:pt idx="38">
                  <c:v>249.86170000000001</c:v>
                </c:pt>
                <c:pt idx="39">
                  <c:v>249.9821</c:v>
                </c:pt>
                <c:pt idx="40">
                  <c:v>250.36269999999999</c:v>
                </c:pt>
                <c:pt idx="41">
                  <c:v>250.56</c:v>
                </c:pt>
                <c:pt idx="42">
                  <c:v>250.8511</c:v>
                </c:pt>
                <c:pt idx="43">
                  <c:v>252.09989999999999</c:v>
                </c:pt>
                <c:pt idx="44">
                  <c:v>252.3252</c:v>
                </c:pt>
                <c:pt idx="45">
                  <c:v>252.74350000000001</c:v>
                </c:pt>
                <c:pt idx="46">
                  <c:v>254.3212</c:v>
                </c:pt>
                <c:pt idx="47">
                  <c:v>254.3972</c:v>
                </c:pt>
                <c:pt idx="48">
                  <c:v>254.8991</c:v>
                </c:pt>
                <c:pt idx="49">
                  <c:v>254.95689999999999</c:v>
                </c:pt>
                <c:pt idx="50">
                  <c:v>256.07810000000001</c:v>
                </c:pt>
                <c:pt idx="51">
                  <c:v>256.24299999999999</c:v>
                </c:pt>
                <c:pt idx="52">
                  <c:v>256.55459999999999</c:v>
                </c:pt>
                <c:pt idx="53">
                  <c:v>256.74529999999999</c:v>
                </c:pt>
                <c:pt idx="54">
                  <c:v>257.19850000000002</c:v>
                </c:pt>
                <c:pt idx="55">
                  <c:v>257.35629999999998</c:v>
                </c:pt>
                <c:pt idx="56">
                  <c:v>257.88650000000001</c:v>
                </c:pt>
                <c:pt idx="57">
                  <c:v>258.19929999999999</c:v>
                </c:pt>
                <c:pt idx="58">
                  <c:v>258.34230000000002</c:v>
                </c:pt>
                <c:pt idx="59">
                  <c:v>258.5224</c:v>
                </c:pt>
                <c:pt idx="60">
                  <c:v>258.67309999999998</c:v>
                </c:pt>
                <c:pt idx="61">
                  <c:v>259.09969999999998</c:v>
                </c:pt>
                <c:pt idx="62">
                  <c:v>259.5668</c:v>
                </c:pt>
                <c:pt idx="63">
                  <c:v>259.57549999999998</c:v>
                </c:pt>
                <c:pt idx="64">
                  <c:v>260.22820000000002</c:v>
                </c:pt>
                <c:pt idx="65">
                  <c:v>260.67809999999997</c:v>
                </c:pt>
                <c:pt idx="66">
                  <c:v>260.9187</c:v>
                </c:pt>
                <c:pt idx="67">
                  <c:v>261.09559999999999</c:v>
                </c:pt>
                <c:pt idx="68">
                  <c:v>261.411</c:v>
                </c:pt>
                <c:pt idx="69">
                  <c:v>261.51280000000003</c:v>
                </c:pt>
                <c:pt idx="70">
                  <c:v>261.8587</c:v>
                </c:pt>
                <c:pt idx="71">
                  <c:v>262.06229999999999</c:v>
                </c:pt>
                <c:pt idx="72">
                  <c:v>262.29989999999998</c:v>
                </c:pt>
                <c:pt idx="73">
                  <c:v>262.69439999999997</c:v>
                </c:pt>
                <c:pt idx="74">
                  <c:v>262.71269999999998</c:v>
                </c:pt>
                <c:pt idx="75">
                  <c:v>262.92070000000001</c:v>
                </c:pt>
                <c:pt idx="76">
                  <c:v>263.39159999999998</c:v>
                </c:pt>
                <c:pt idx="77">
                  <c:v>263.7457</c:v>
                </c:pt>
                <c:pt idx="78">
                  <c:v>264.5557</c:v>
                </c:pt>
                <c:pt idx="79">
                  <c:v>266.44139999999999</c:v>
                </c:pt>
                <c:pt idx="80">
                  <c:v>266.60939999999999</c:v>
                </c:pt>
                <c:pt idx="81">
                  <c:v>266.7346</c:v>
                </c:pt>
                <c:pt idx="82">
                  <c:v>267.15019999999998</c:v>
                </c:pt>
                <c:pt idx="83">
                  <c:v>267.39780000000002</c:v>
                </c:pt>
                <c:pt idx="84">
                  <c:v>268.26510000000002</c:v>
                </c:pt>
                <c:pt idx="85">
                  <c:v>268.74669999999998</c:v>
                </c:pt>
                <c:pt idx="86">
                  <c:v>269.4162</c:v>
                </c:pt>
                <c:pt idx="87">
                  <c:v>270.23349999999999</c:v>
                </c:pt>
                <c:pt idx="88">
                  <c:v>270.75689999999997</c:v>
                </c:pt>
                <c:pt idx="89">
                  <c:v>272.12689999999998</c:v>
                </c:pt>
                <c:pt idx="90">
                  <c:v>275.11470000000003</c:v>
                </c:pt>
                <c:pt idx="91">
                  <c:v>276.23820000000001</c:v>
                </c:pt>
                <c:pt idx="92">
                  <c:v>276.5908</c:v>
                </c:pt>
                <c:pt idx="93">
                  <c:v>277.69970000000001</c:v>
                </c:pt>
                <c:pt idx="94">
                  <c:v>279.3349</c:v>
                </c:pt>
                <c:pt idx="95">
                  <c:v>281.77420000000001</c:v>
                </c:pt>
                <c:pt idx="96">
                  <c:v>282.27940000000001</c:v>
                </c:pt>
                <c:pt idx="97">
                  <c:v>284.52350000000001</c:v>
                </c:pt>
                <c:pt idx="98">
                  <c:v>295.44970000000001</c:v>
                </c:pt>
                <c:pt idx="99">
                  <c:v>305.07979999999998</c:v>
                </c:pt>
              </c:numCache>
            </c:numRef>
          </c:xVal>
          <c:yVal>
            <c:numRef>
              <c:f>'lognormal 3'!$C$2:$C$102</c:f>
              <c:numCache>
                <c:formatCode>0%</c:formatCode>
                <c:ptCount val="101"/>
                <c:pt idx="0">
                  <c:v>0.998472037770606</c:v>
                </c:pt>
                <c:pt idx="1">
                  <c:v>0.98206551480443993</c:v>
                </c:pt>
                <c:pt idx="2">
                  <c:v>0.98107368079695734</c:v>
                </c:pt>
                <c:pt idx="3">
                  <c:v>0.94693646673555021</c:v>
                </c:pt>
                <c:pt idx="4">
                  <c:v>0.93466117606406363</c:v>
                </c:pt>
                <c:pt idx="5">
                  <c:v>0.93296010393606144</c:v>
                </c:pt>
                <c:pt idx="6">
                  <c:v>0.92201665171441249</c:v>
                </c:pt>
                <c:pt idx="7">
                  <c:v>0.9206458181967514</c:v>
                </c:pt>
                <c:pt idx="8">
                  <c:v>0.90731362832957496</c:v>
                </c:pt>
                <c:pt idx="9">
                  <c:v>0.89612821356490979</c:v>
                </c:pt>
                <c:pt idx="10">
                  <c:v>0.89484073398145092</c:v>
                </c:pt>
                <c:pt idx="11">
                  <c:v>0.88413346404802806</c:v>
                </c:pt>
                <c:pt idx="12">
                  <c:v>0.87829817026500834</c:v>
                </c:pt>
                <c:pt idx="13">
                  <c:v>0.87155304910160802</c:v>
                </c:pt>
                <c:pt idx="14">
                  <c:v>0.8582948407737373</c:v>
                </c:pt>
                <c:pt idx="15">
                  <c:v>0.84261649241454062</c:v>
                </c:pt>
                <c:pt idx="16">
                  <c:v>0.84166115653524287</c:v>
                </c:pt>
                <c:pt idx="17">
                  <c:v>0.84052554354084896</c:v>
                </c:pt>
                <c:pt idx="18">
                  <c:v>0.83645354131422267</c:v>
                </c:pt>
                <c:pt idx="19">
                  <c:v>0.82952783431682431</c:v>
                </c:pt>
                <c:pt idx="20">
                  <c:v>0.82332612105630643</c:v>
                </c:pt>
                <c:pt idx="21">
                  <c:v>0.8156209898632335</c:v>
                </c:pt>
                <c:pt idx="22">
                  <c:v>0.79662986694124227</c:v>
                </c:pt>
                <c:pt idx="23">
                  <c:v>0.79351141555085436</c:v>
                </c:pt>
                <c:pt idx="24">
                  <c:v>0.78974478829896555</c:v>
                </c:pt>
                <c:pt idx="25">
                  <c:v>0.77287848181923224</c:v>
                </c:pt>
                <c:pt idx="26">
                  <c:v>0.76760222197593053</c:v>
                </c:pt>
                <c:pt idx="27">
                  <c:v>0.74973288529033355</c:v>
                </c:pt>
                <c:pt idx="28">
                  <c:v>0.73941750976866127</c:v>
                </c:pt>
                <c:pt idx="29">
                  <c:v>0.73756306374120606</c:v>
                </c:pt>
                <c:pt idx="30">
                  <c:v>0.73487659396014426</c:v>
                </c:pt>
                <c:pt idx="31">
                  <c:v>0.72987616666916266</c:v>
                </c:pt>
                <c:pt idx="32">
                  <c:v>0.72138490849921633</c:v>
                </c:pt>
                <c:pt idx="33">
                  <c:v>0.72044814836736315</c:v>
                </c:pt>
                <c:pt idx="34">
                  <c:v>0.70165555794653178</c:v>
                </c:pt>
                <c:pt idx="35">
                  <c:v>0.68951112295449413</c:v>
                </c:pt>
                <c:pt idx="36">
                  <c:v>0.68680252293810307</c:v>
                </c:pt>
                <c:pt idx="37">
                  <c:v>0.66810516825640787</c:v>
                </c:pt>
                <c:pt idx="38">
                  <c:v>0.66680879659298564</c:v>
                </c:pt>
                <c:pt idx="39">
                  <c:v>0.66386847291022733</c:v>
                </c:pt>
                <c:pt idx="40">
                  <c:v>0.65451673655836418</c:v>
                </c:pt>
                <c:pt idx="41">
                  <c:v>0.64963606396851792</c:v>
                </c:pt>
                <c:pt idx="42">
                  <c:v>0.64239612888444086</c:v>
                </c:pt>
                <c:pt idx="43">
                  <c:v>0.61086705622390935</c:v>
                </c:pt>
                <c:pt idx="44">
                  <c:v>0.6051076707266565</c:v>
                </c:pt>
                <c:pt idx="45">
                  <c:v>0.59436593840311347</c:v>
                </c:pt>
                <c:pt idx="46">
                  <c:v>0.55341066577722708</c:v>
                </c:pt>
                <c:pt idx="47">
                  <c:v>0.55142509147244256</c:v>
                </c:pt>
                <c:pt idx="48">
                  <c:v>0.53829517190042897</c:v>
                </c:pt>
                <c:pt idx="49">
                  <c:v>0.53678157401883053</c:v>
                </c:pt>
                <c:pt idx="50">
                  <c:v>0.50740292993006531</c:v>
                </c:pt>
                <c:pt idx="51">
                  <c:v>0.50308498220288955</c:v>
                </c:pt>
                <c:pt idx="52">
                  <c:v>0.49493259205326062</c:v>
                </c:pt>
                <c:pt idx="53">
                  <c:v>0.48994911489609466</c:v>
                </c:pt>
                <c:pt idx="54">
                  <c:v>0.47812922527245572</c:v>
                </c:pt>
                <c:pt idx="55">
                  <c:v>0.47402291469628338</c:v>
                </c:pt>
                <c:pt idx="56">
                  <c:v>0.46026901975608192</c:v>
                </c:pt>
                <c:pt idx="57">
                  <c:v>0.45219078967192572</c:v>
                </c:pt>
                <c:pt idx="58">
                  <c:v>0.44850783529141935</c:v>
                </c:pt>
                <c:pt idx="59">
                  <c:v>0.44387904844281617</c:v>
                </c:pt>
                <c:pt idx="60">
                  <c:v>0.44001457986626763</c:v>
                </c:pt>
                <c:pt idx="61">
                  <c:v>0.42912128355263746</c:v>
                </c:pt>
                <c:pt idx="62">
                  <c:v>0.41727942768376508</c:v>
                </c:pt>
                <c:pt idx="63">
                  <c:v>0.41705977655398996</c:v>
                </c:pt>
                <c:pt idx="64">
                  <c:v>0.4006835049485073</c:v>
                </c:pt>
                <c:pt idx="65">
                  <c:v>0.38952181147351078</c:v>
                </c:pt>
                <c:pt idx="66">
                  <c:v>0.38359830008611895</c:v>
                </c:pt>
                <c:pt idx="67">
                  <c:v>0.37926425036449024</c:v>
                </c:pt>
                <c:pt idx="68">
                  <c:v>0.37158305875266623</c:v>
                </c:pt>
                <c:pt idx="69">
                  <c:v>0.36911679378660073</c:v>
                </c:pt>
                <c:pt idx="70">
                  <c:v>0.36078561015695243</c:v>
                </c:pt>
                <c:pt idx="71">
                  <c:v>0.3559179790346822</c:v>
                </c:pt>
                <c:pt idx="72">
                  <c:v>0.35027241777630808</c:v>
                </c:pt>
                <c:pt idx="73">
                  <c:v>0.34098441455248318</c:v>
                </c:pt>
                <c:pt idx="74">
                  <c:v>0.34055621604793657</c:v>
                </c:pt>
                <c:pt idx="75">
                  <c:v>0.33570611932487077</c:v>
                </c:pt>
                <c:pt idx="76">
                  <c:v>0.32484275295580384</c:v>
                </c:pt>
                <c:pt idx="77">
                  <c:v>0.31678400492106362</c:v>
                </c:pt>
                <c:pt idx="78">
                  <c:v>0.298720569773471</c:v>
                </c:pt>
                <c:pt idx="79">
                  <c:v>0.25880279519777055</c:v>
                </c:pt>
                <c:pt idx="80">
                  <c:v>0.25539874177766181</c:v>
                </c:pt>
                <c:pt idx="81">
                  <c:v>0.25287862507420072</c:v>
                </c:pt>
                <c:pt idx="82">
                  <c:v>0.24461632301542849</c:v>
                </c:pt>
                <c:pt idx="83">
                  <c:v>0.23976998475165825</c:v>
                </c:pt>
                <c:pt idx="84">
                  <c:v>0.22324855982349176</c:v>
                </c:pt>
                <c:pt idx="85">
                  <c:v>0.21438363645050607</c:v>
                </c:pt>
                <c:pt idx="86">
                  <c:v>0.2024313677165839</c:v>
                </c:pt>
                <c:pt idx="87">
                  <c:v>0.18843073687182624</c:v>
                </c:pt>
                <c:pt idx="88">
                  <c:v>0.17980713552334363</c:v>
                </c:pt>
                <c:pt idx="89">
                  <c:v>0.15850084909357279</c:v>
                </c:pt>
                <c:pt idx="90">
                  <c:v>0.11828561883944515</c:v>
                </c:pt>
                <c:pt idx="91">
                  <c:v>0.10530111267668067</c:v>
                </c:pt>
                <c:pt idx="92">
                  <c:v>0.10145658843246497</c:v>
                </c:pt>
                <c:pt idx="93">
                  <c:v>9.0060934609355464E-2</c:v>
                </c:pt>
                <c:pt idx="94">
                  <c:v>7.5097665510652459E-2</c:v>
                </c:pt>
                <c:pt idx="95">
                  <c:v>5.6516033505161864E-2</c:v>
                </c:pt>
                <c:pt idx="96">
                  <c:v>5.3180100775267254E-2</c:v>
                </c:pt>
                <c:pt idx="97">
                  <c:v>4.0259338071836993E-2</c:v>
                </c:pt>
                <c:pt idx="98">
                  <c:v>8.6386206925995815E-3</c:v>
                </c:pt>
                <c:pt idx="99">
                  <c:v>1.749635147972328E-3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17-42D9-AB7F-166B5A9DD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498399"/>
        <c:axId val="1296497983"/>
      </c:scatterChart>
      <c:scatterChart>
        <c:scatterStyle val="smoothMarker"/>
        <c:varyColors val="0"/>
        <c:ser>
          <c:idx val="0"/>
          <c:order val="0"/>
          <c:tx>
            <c:strRef>
              <c:f>'lognormal 3'!$B$1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'lognormal 3'!$A$2:$A$102</c:f>
              <c:numCache>
                <c:formatCode>General</c:formatCode>
                <c:ptCount val="101"/>
                <c:pt idx="0">
                  <c:v>214.8852</c:v>
                </c:pt>
                <c:pt idx="1">
                  <c:v>226.2123</c:v>
                </c:pt>
                <c:pt idx="2">
                  <c:v>226.50819999999999</c:v>
                </c:pt>
                <c:pt idx="3">
                  <c:v>232.80719999999999</c:v>
                </c:pt>
                <c:pt idx="4">
                  <c:v>234.2604</c:v>
                </c:pt>
                <c:pt idx="5">
                  <c:v>234.4452</c:v>
                </c:pt>
                <c:pt idx="6">
                  <c:v>235.5581</c:v>
                </c:pt>
                <c:pt idx="7">
                  <c:v>235.6893</c:v>
                </c:pt>
                <c:pt idx="8">
                  <c:v>236.88749999999999</c:v>
                </c:pt>
                <c:pt idx="9">
                  <c:v>237.80199999999999</c:v>
                </c:pt>
                <c:pt idx="10">
                  <c:v>237.90280000000001</c:v>
                </c:pt>
                <c:pt idx="11">
                  <c:v>238.71010000000001</c:v>
                </c:pt>
                <c:pt idx="12">
                  <c:v>239.12899999999999</c:v>
                </c:pt>
                <c:pt idx="13">
                  <c:v>239.59690000000001</c:v>
                </c:pt>
                <c:pt idx="14">
                  <c:v>240.4718</c:v>
                </c:pt>
                <c:pt idx="15">
                  <c:v>241.44149999999999</c:v>
                </c:pt>
                <c:pt idx="16">
                  <c:v>241.49860000000001</c:v>
                </c:pt>
                <c:pt idx="17">
                  <c:v>241.56620000000001</c:v>
                </c:pt>
                <c:pt idx="18">
                  <c:v>241.80619999999999</c:v>
                </c:pt>
                <c:pt idx="19">
                  <c:v>242.2062</c:v>
                </c:pt>
                <c:pt idx="20">
                  <c:v>242.55619999999999</c:v>
                </c:pt>
                <c:pt idx="21">
                  <c:v>242.9811</c:v>
                </c:pt>
                <c:pt idx="22">
                  <c:v>243.98660000000001</c:v>
                </c:pt>
                <c:pt idx="23">
                  <c:v>244.14660000000001</c:v>
                </c:pt>
                <c:pt idx="24">
                  <c:v>244.3381</c:v>
                </c:pt>
                <c:pt idx="25">
                  <c:v>245.1738</c:v>
                </c:pt>
                <c:pt idx="26">
                  <c:v>245.42850000000001</c:v>
                </c:pt>
                <c:pt idx="27">
                  <c:v>246.27010000000001</c:v>
                </c:pt>
                <c:pt idx="28">
                  <c:v>246.74260000000001</c:v>
                </c:pt>
                <c:pt idx="29">
                  <c:v>246.82660000000001</c:v>
                </c:pt>
                <c:pt idx="30">
                  <c:v>246.9478</c:v>
                </c:pt>
                <c:pt idx="31">
                  <c:v>247.17189999999999</c:v>
                </c:pt>
                <c:pt idx="32">
                  <c:v>247.54820000000001</c:v>
                </c:pt>
                <c:pt idx="33">
                  <c:v>247.58940000000001</c:v>
                </c:pt>
                <c:pt idx="34">
                  <c:v>248.40379999999999</c:v>
                </c:pt>
                <c:pt idx="35">
                  <c:v>248.91890000000001</c:v>
                </c:pt>
                <c:pt idx="36">
                  <c:v>249.03270000000001</c:v>
                </c:pt>
                <c:pt idx="37">
                  <c:v>249.80850000000001</c:v>
                </c:pt>
                <c:pt idx="38">
                  <c:v>249.86170000000001</c:v>
                </c:pt>
                <c:pt idx="39">
                  <c:v>249.9821</c:v>
                </c:pt>
                <c:pt idx="40">
                  <c:v>250.36269999999999</c:v>
                </c:pt>
                <c:pt idx="41">
                  <c:v>250.56</c:v>
                </c:pt>
                <c:pt idx="42">
                  <c:v>250.8511</c:v>
                </c:pt>
                <c:pt idx="43">
                  <c:v>252.09989999999999</c:v>
                </c:pt>
                <c:pt idx="44">
                  <c:v>252.3252</c:v>
                </c:pt>
                <c:pt idx="45">
                  <c:v>252.74350000000001</c:v>
                </c:pt>
                <c:pt idx="46">
                  <c:v>254.3212</c:v>
                </c:pt>
                <c:pt idx="47">
                  <c:v>254.3972</c:v>
                </c:pt>
                <c:pt idx="48">
                  <c:v>254.8991</c:v>
                </c:pt>
                <c:pt idx="49">
                  <c:v>254.95689999999999</c:v>
                </c:pt>
                <c:pt idx="50">
                  <c:v>256.07810000000001</c:v>
                </c:pt>
                <c:pt idx="51">
                  <c:v>256.24299999999999</c:v>
                </c:pt>
                <c:pt idx="52">
                  <c:v>256.55459999999999</c:v>
                </c:pt>
                <c:pt idx="53">
                  <c:v>256.74529999999999</c:v>
                </c:pt>
                <c:pt idx="54">
                  <c:v>257.19850000000002</c:v>
                </c:pt>
                <c:pt idx="55">
                  <c:v>257.35629999999998</c:v>
                </c:pt>
                <c:pt idx="56">
                  <c:v>257.88650000000001</c:v>
                </c:pt>
                <c:pt idx="57">
                  <c:v>258.19929999999999</c:v>
                </c:pt>
                <c:pt idx="58">
                  <c:v>258.34230000000002</c:v>
                </c:pt>
                <c:pt idx="59">
                  <c:v>258.5224</c:v>
                </c:pt>
                <c:pt idx="60">
                  <c:v>258.67309999999998</c:v>
                </c:pt>
                <c:pt idx="61">
                  <c:v>259.09969999999998</c:v>
                </c:pt>
                <c:pt idx="62">
                  <c:v>259.5668</c:v>
                </c:pt>
                <c:pt idx="63">
                  <c:v>259.57549999999998</c:v>
                </c:pt>
                <c:pt idx="64">
                  <c:v>260.22820000000002</c:v>
                </c:pt>
                <c:pt idx="65">
                  <c:v>260.67809999999997</c:v>
                </c:pt>
                <c:pt idx="66">
                  <c:v>260.9187</c:v>
                </c:pt>
                <c:pt idx="67">
                  <c:v>261.09559999999999</c:v>
                </c:pt>
                <c:pt idx="68">
                  <c:v>261.411</c:v>
                </c:pt>
                <c:pt idx="69">
                  <c:v>261.51280000000003</c:v>
                </c:pt>
                <c:pt idx="70">
                  <c:v>261.8587</c:v>
                </c:pt>
                <c:pt idx="71">
                  <c:v>262.06229999999999</c:v>
                </c:pt>
                <c:pt idx="72">
                  <c:v>262.29989999999998</c:v>
                </c:pt>
                <c:pt idx="73">
                  <c:v>262.69439999999997</c:v>
                </c:pt>
                <c:pt idx="74">
                  <c:v>262.71269999999998</c:v>
                </c:pt>
                <c:pt idx="75">
                  <c:v>262.92070000000001</c:v>
                </c:pt>
                <c:pt idx="76">
                  <c:v>263.39159999999998</c:v>
                </c:pt>
                <c:pt idx="77">
                  <c:v>263.7457</c:v>
                </c:pt>
                <c:pt idx="78">
                  <c:v>264.5557</c:v>
                </c:pt>
                <c:pt idx="79">
                  <c:v>266.44139999999999</c:v>
                </c:pt>
                <c:pt idx="80">
                  <c:v>266.60939999999999</c:v>
                </c:pt>
                <c:pt idx="81">
                  <c:v>266.7346</c:v>
                </c:pt>
                <c:pt idx="82">
                  <c:v>267.15019999999998</c:v>
                </c:pt>
                <c:pt idx="83">
                  <c:v>267.39780000000002</c:v>
                </c:pt>
                <c:pt idx="84">
                  <c:v>268.26510000000002</c:v>
                </c:pt>
                <c:pt idx="85">
                  <c:v>268.74669999999998</c:v>
                </c:pt>
                <c:pt idx="86">
                  <c:v>269.4162</c:v>
                </c:pt>
                <c:pt idx="87">
                  <c:v>270.23349999999999</c:v>
                </c:pt>
                <c:pt idx="88">
                  <c:v>270.75689999999997</c:v>
                </c:pt>
                <c:pt idx="89">
                  <c:v>272.12689999999998</c:v>
                </c:pt>
                <c:pt idx="90">
                  <c:v>275.11470000000003</c:v>
                </c:pt>
                <c:pt idx="91">
                  <c:v>276.23820000000001</c:v>
                </c:pt>
                <c:pt idx="92">
                  <c:v>276.5908</c:v>
                </c:pt>
                <c:pt idx="93">
                  <c:v>277.69970000000001</c:v>
                </c:pt>
                <c:pt idx="94">
                  <c:v>279.3349</c:v>
                </c:pt>
                <c:pt idx="95">
                  <c:v>281.77420000000001</c:v>
                </c:pt>
                <c:pt idx="96">
                  <c:v>282.27940000000001</c:v>
                </c:pt>
                <c:pt idx="97">
                  <c:v>284.52350000000001</c:v>
                </c:pt>
                <c:pt idx="98">
                  <c:v>295.44970000000001</c:v>
                </c:pt>
                <c:pt idx="99">
                  <c:v>305.07979999999998</c:v>
                </c:pt>
              </c:numCache>
            </c:numRef>
          </c:xVal>
          <c:yVal>
            <c:numRef>
              <c:f>'lognormal 3'!$B$2:$B$102</c:f>
              <c:numCache>
                <c:formatCode>General</c:formatCode>
                <c:ptCount val="101"/>
                <c:pt idx="0">
                  <c:v>2.9675920026390723</c:v>
                </c:pt>
                <c:pt idx="1">
                  <c:v>2.1037923925784283</c:v>
                </c:pt>
                <c:pt idx="2">
                  <c:v>2.0818113522873576</c:v>
                </c:pt>
                <c:pt idx="3">
                  <c:v>1.6205774672190734</c:v>
                </c:pt>
                <c:pt idx="4">
                  <c:v>1.5159416369564007</c:v>
                </c:pt>
                <c:pt idx="5">
                  <c:v>1.5026818904086383</c:v>
                </c:pt>
                <c:pt idx="6">
                  <c:v>1.4230495604824025</c:v>
                </c:pt>
                <c:pt idx="7">
                  <c:v>1.4136864908103084</c:v>
                </c:pt>
                <c:pt idx="8">
                  <c:v>1.3284174800516728</c:v>
                </c:pt>
                <c:pt idx="9">
                  <c:v>1.2636274774110152</c:v>
                </c:pt>
                <c:pt idx="10">
                  <c:v>1.2565013040907478</c:v>
                </c:pt>
                <c:pt idx="11">
                  <c:v>1.1995369796982458</c:v>
                </c:pt>
                <c:pt idx="12">
                  <c:v>1.1700546252087134</c:v>
                </c:pt>
                <c:pt idx="13">
                  <c:v>1.137184630430955</c:v>
                </c:pt>
                <c:pt idx="14">
                  <c:v>1.0758947347854801</c:v>
                </c:pt>
                <c:pt idx="15">
                  <c:v>1.0082237579855367</c:v>
                </c:pt>
                <c:pt idx="16">
                  <c:v>1.004247484763598</c:v>
                </c:pt>
                <c:pt idx="17">
                  <c:v>0.99954123813718787</c:v>
                </c:pt>
                <c:pt idx="18">
                  <c:v>0.98284330167326739</c:v>
                </c:pt>
                <c:pt idx="19">
                  <c:v>0.95505020244046968</c:v>
                </c:pt>
                <c:pt idx="20">
                  <c:v>0.93076886699485961</c:v>
                </c:pt>
                <c:pt idx="21">
                  <c:v>0.90133836845645465</c:v>
                </c:pt>
                <c:pt idx="22">
                  <c:v>0.83189737713249112</c:v>
                </c:pt>
                <c:pt idx="23">
                  <c:v>0.82087399082535539</c:v>
                </c:pt>
                <c:pt idx="24">
                  <c:v>0.80768986889439165</c:v>
                </c:pt>
                <c:pt idx="25">
                  <c:v>0.75027545363965709</c:v>
                </c:pt>
                <c:pt idx="26">
                  <c:v>0.73281591433719406</c:v>
                </c:pt>
                <c:pt idx="27">
                  <c:v>0.67525329405058465</c:v>
                </c:pt>
                <c:pt idx="28">
                  <c:v>0.64302203914395917</c:v>
                </c:pt>
                <c:pt idx="29">
                  <c:v>0.63729850055323034</c:v>
                </c:pt>
                <c:pt idx="30">
                  <c:v>0.62904368384577192</c:v>
                </c:pt>
                <c:pt idx="31">
                  <c:v>0.61379111151669641</c:v>
                </c:pt>
                <c:pt idx="32">
                  <c:v>0.58821066492407648</c:v>
                </c:pt>
                <c:pt idx="33">
                  <c:v>0.58541229782762338</c:v>
                </c:pt>
                <c:pt idx="34">
                  <c:v>0.53019237329565727</c:v>
                </c:pt>
                <c:pt idx="35">
                  <c:v>0.49535970065531171</c:v>
                </c:pt>
                <c:pt idx="36">
                  <c:v>0.4876739106669008</c:v>
                </c:pt>
                <c:pt idx="37">
                  <c:v>0.43537156266698368</c:v>
                </c:pt>
                <c:pt idx="38">
                  <c:v>0.43179091523265833</c:v>
                </c:pt>
                <c:pt idx="39">
                  <c:v>0.42369015903625401</c:v>
                </c:pt>
                <c:pt idx="40">
                  <c:v>0.39810825573331915</c:v>
                </c:pt>
                <c:pt idx="41">
                  <c:v>0.38486210261905929</c:v>
                </c:pt>
                <c:pt idx="42">
                  <c:v>0.36533752325748176</c:v>
                </c:pt>
                <c:pt idx="43">
                  <c:v>0.28183463788090157</c:v>
                </c:pt>
                <c:pt idx="44">
                  <c:v>0.26681367033709863</c:v>
                </c:pt>
                <c:pt idx="45">
                  <c:v>0.238960740547046</c:v>
                </c:pt>
                <c:pt idx="46">
                  <c:v>0.13432119970395648</c:v>
                </c:pt>
                <c:pt idx="47">
                  <c:v>0.12929696955397665</c:v>
                </c:pt>
                <c:pt idx="48">
                  <c:v>9.6154856755417656E-2</c:v>
                </c:pt>
                <c:pt idx="49">
                  <c:v>9.2342323138849214E-2</c:v>
                </c:pt>
                <c:pt idx="50">
                  <c:v>1.8557589045725149E-2</c:v>
                </c:pt>
                <c:pt idx="51">
                  <c:v>7.7329903685547279E-3</c:v>
                </c:pt>
                <c:pt idx="52">
                  <c:v>-1.2702492045224943E-2</c:v>
                </c:pt>
                <c:pt idx="53">
                  <c:v>-2.5196820230657176E-2</c:v>
                </c:pt>
                <c:pt idx="54">
                  <c:v>-5.4852491461537756E-2</c:v>
                </c:pt>
                <c:pt idx="55">
                  <c:v>-6.5166055143768192E-2</c:v>
                </c:pt>
                <c:pt idx="56">
                  <c:v>-9.9772845409058591E-2</c:v>
                </c:pt>
                <c:pt idx="57">
                  <c:v>-0.12015632222593199</c:v>
                </c:pt>
                <c:pt idx="58">
                  <c:v>-0.1294666317829275</c:v>
                </c:pt>
                <c:pt idx="59">
                  <c:v>-0.14118508347017886</c:v>
                </c:pt>
                <c:pt idx="60">
                  <c:v>-0.15098431238159324</c:v>
                </c:pt>
                <c:pt idx="61">
                  <c:v>-0.17869294491961965</c:v>
                </c:pt>
                <c:pt idx="62">
                  <c:v>-0.20897986853221898</c:v>
                </c:pt>
                <c:pt idx="63">
                  <c:v>-0.20954346233846424</c:v>
                </c:pt>
                <c:pt idx="64">
                  <c:v>-0.25177217578985656</c:v>
                </c:pt>
                <c:pt idx="65">
                  <c:v>-0.28081841215223574</c:v>
                </c:pt>
                <c:pt idx="66">
                  <c:v>-0.29633135210249328</c:v>
                </c:pt>
                <c:pt idx="67">
                  <c:v>-0.30772804446434987</c:v>
                </c:pt>
                <c:pt idx="68">
                  <c:v>-0.32802838564732112</c:v>
                </c:pt>
                <c:pt idx="69">
                  <c:v>-0.33457539182794971</c:v>
                </c:pt>
                <c:pt idx="70">
                  <c:v>-0.35680203777225183</c:v>
                </c:pt>
                <c:pt idx="71">
                  <c:v>-0.36987112826370661</c:v>
                </c:pt>
                <c:pt idx="72">
                  <c:v>-0.38510984741170512</c:v>
                </c:pt>
                <c:pt idx="73">
                  <c:v>-0.41038104811944159</c:v>
                </c:pt>
                <c:pt idx="74">
                  <c:v>-0.41155240310013624</c:v>
                </c:pt>
                <c:pt idx="75">
                  <c:v>-0.42486043336882101</c:v>
                </c:pt>
                <c:pt idx="76">
                  <c:v>-0.45495018912810425</c:v>
                </c:pt>
                <c:pt idx="77">
                  <c:v>-0.47754119769099185</c:v>
                </c:pt>
                <c:pt idx="78">
                  <c:v>-0.52910405477708833</c:v>
                </c:pt>
                <c:pt idx="79">
                  <c:v>-0.64853466558205486</c:v>
                </c:pt>
                <c:pt idx="80">
                  <c:v>-0.65913388963220887</c:v>
                </c:pt>
                <c:pt idx="81">
                  <c:v>-0.66702849269949871</c:v>
                </c:pt>
                <c:pt idx="82">
                  <c:v>-0.69320799862704696</c:v>
                </c:pt>
                <c:pt idx="83">
                  <c:v>-0.70878548350450721</c:v>
                </c:pt>
                <c:pt idx="84">
                  <c:v>-0.76323719484867714</c:v>
                </c:pt>
                <c:pt idx="85">
                  <c:v>-0.79339752851219314</c:v>
                </c:pt>
                <c:pt idx="86">
                  <c:v>-0.835235481378235</c:v>
                </c:pt>
                <c:pt idx="87">
                  <c:v>-0.88616895161936515</c:v>
                </c:pt>
                <c:pt idx="88">
                  <c:v>-0.91870596389613746</c:v>
                </c:pt>
                <c:pt idx="89">
                  <c:v>-1.0035747485000599</c:v>
                </c:pt>
                <c:pt idx="90">
                  <c:v>-1.1871905742750395</c:v>
                </c:pt>
                <c:pt idx="91">
                  <c:v>-1.255720047035958</c:v>
                </c:pt>
                <c:pt idx="92">
                  <c:v>-1.277169929945285</c:v>
                </c:pt>
                <c:pt idx="93">
                  <c:v>-1.3444503824152185</c:v>
                </c:pt>
                <c:pt idx="94">
                  <c:v>-1.4431745157255211</c:v>
                </c:pt>
                <c:pt idx="95">
                  <c:v>-1.5893767519849107</c:v>
                </c:pt>
                <c:pt idx="96">
                  <c:v>-1.6194982425041347</c:v>
                </c:pt>
                <c:pt idx="97">
                  <c:v>-1.7526496578847324</c:v>
                </c:pt>
                <c:pt idx="98">
                  <c:v>-2.38629461507991</c:v>
                </c:pt>
                <c:pt idx="99">
                  <c:v>-2.9256401125354095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9-41BF-B54F-35A2D3464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189999"/>
        <c:axId val="1039189583"/>
      </c:scatterChart>
      <c:valAx>
        <c:axId val="1296498399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</a:t>
                </a:r>
                <a:r>
                  <a:rPr lang="pt-BR" baseline="0"/>
                  <a:t> da MP [h]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497983"/>
        <c:crosses val="autoZero"/>
        <c:crossBetween val="midCat"/>
      </c:valAx>
      <c:valAx>
        <c:axId val="12964979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Confiabildiade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498399"/>
        <c:crosses val="autoZero"/>
        <c:crossBetween val="midCat"/>
      </c:valAx>
      <c:valAx>
        <c:axId val="103918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CFD Normal Padronizado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9189999"/>
        <c:crosses val="max"/>
        <c:crossBetween val="midCat"/>
      </c:valAx>
      <c:valAx>
        <c:axId val="10391899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39189583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10 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Otimização!$B$26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Otimização!$B$27:$B$34</c:f>
              <c:numCache>
                <c:formatCode>0.0000</c:formatCode>
                <c:ptCount val="8"/>
                <c:pt idx="0">
                  <c:v>413349.28432617499</c:v>
                </c:pt>
                <c:pt idx="1">
                  <c:v>413349.28432617499</c:v>
                </c:pt>
                <c:pt idx="2">
                  <c:v>413349.28432617499</c:v>
                </c:pt>
                <c:pt idx="3">
                  <c:v>413349.28432617499</c:v>
                </c:pt>
                <c:pt idx="4">
                  <c:v>413349.28432617499</c:v>
                </c:pt>
                <c:pt idx="5">
                  <c:v>413349.28432617499</c:v>
                </c:pt>
                <c:pt idx="6">
                  <c:v>413349.28432617499</c:v>
                </c:pt>
                <c:pt idx="7">
                  <c:v>413349.28432617499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1-48EF-9961-EDB96C4CE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60031"/>
        <c:axId val="487849215"/>
      </c:scatterChart>
      <c:scatterChart>
        <c:scatterStyle val="lineMarker"/>
        <c:varyColors val="0"/>
        <c:ser>
          <c:idx val="1"/>
          <c:order val="1"/>
          <c:tx>
            <c:strRef>
              <c:f>Otimização!$C$26</c:f>
              <c:strCache>
                <c:ptCount val="1"/>
                <c:pt idx="0">
                  <c:v>Intervalo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Otimização!$C$27:$C$34</c:f>
              <c:numCache>
                <c:formatCode>General</c:formatCode>
                <c:ptCount val="8"/>
                <c:pt idx="0">
                  <c:v>216.77448447</c:v>
                </c:pt>
                <c:pt idx="1">
                  <c:v>216.92214207999999</c:v>
                </c:pt>
                <c:pt idx="2">
                  <c:v>216.55953227000001</c:v>
                </c:pt>
                <c:pt idx="3">
                  <c:v>216.24428355000001</c:v>
                </c:pt>
                <c:pt idx="4">
                  <c:v>216.44786624</c:v>
                </c:pt>
                <c:pt idx="5">
                  <c:v>216.39362388000001</c:v>
                </c:pt>
                <c:pt idx="6">
                  <c:v>216.6627043</c:v>
                </c:pt>
                <c:pt idx="7">
                  <c:v>216.04019038000001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A1-48EF-9961-EDB96C4CE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495"/>
        <c:axId val="575302143"/>
      </c:scatterChart>
      <c:valAx>
        <c:axId val="487860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49215"/>
        <c:crosses val="autoZero"/>
        <c:crossBetween val="midCat"/>
      </c:valAx>
      <c:valAx>
        <c:axId val="4878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[R$]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600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57530214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290495"/>
        <c:crosses val="max"/>
        <c:crossBetween val="midCat"/>
      </c:valAx>
      <c:valAx>
        <c:axId val="57529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3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10 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Otimização!$D$26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Otimização!$D$27:$D$34</c:f>
              <c:numCache>
                <c:formatCode>General</c:formatCode>
                <c:ptCount val="8"/>
                <c:pt idx="0">
                  <c:v>0.99798001879907905</c:v>
                </c:pt>
                <c:pt idx="1">
                  <c:v>0.99798001879907905</c:v>
                </c:pt>
                <c:pt idx="2">
                  <c:v>0.99798001879907905</c:v>
                </c:pt>
                <c:pt idx="3">
                  <c:v>0.99798001879907905</c:v>
                </c:pt>
                <c:pt idx="4">
                  <c:v>0.99798001879907905</c:v>
                </c:pt>
                <c:pt idx="5">
                  <c:v>0.99798001879907905</c:v>
                </c:pt>
                <c:pt idx="6">
                  <c:v>0.99798001879907905</c:v>
                </c:pt>
                <c:pt idx="7">
                  <c:v>0.99798001879907905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F-4E5D-923F-E95D3FCADAAC}"/>
            </c:ext>
          </c:extLst>
        </c:ser>
        <c:ser>
          <c:idx val="1"/>
          <c:order val="1"/>
          <c:tx>
            <c:strRef>
              <c:f>Otimização!$E$26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Otimização!$E$27:$E$34</c:f>
              <c:numCache>
                <c:formatCode>General</c:formatCode>
                <c:ptCount val="8"/>
                <c:pt idx="0">
                  <c:v>0.99080732649382297</c:v>
                </c:pt>
                <c:pt idx="1">
                  <c:v>0.99080732649382297</c:v>
                </c:pt>
                <c:pt idx="2">
                  <c:v>0.99080732649382297</c:v>
                </c:pt>
                <c:pt idx="3">
                  <c:v>0.99080732649382297</c:v>
                </c:pt>
                <c:pt idx="4">
                  <c:v>0.99080732649382297</c:v>
                </c:pt>
                <c:pt idx="5">
                  <c:v>0.99080732649382297</c:v>
                </c:pt>
                <c:pt idx="6">
                  <c:v>0.99080732649382297</c:v>
                </c:pt>
                <c:pt idx="7">
                  <c:v>0.99080732649382297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0F-4E5D-923F-E95D3FCAD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4031"/>
        <c:axId val="108629055"/>
        <c:extLst/>
      </c:scatterChart>
      <c:scatterChart>
        <c:scatterStyle val="lineMarker"/>
        <c:varyColors val="0"/>
        <c:ser>
          <c:idx val="2"/>
          <c:order val="2"/>
          <c:tx>
            <c:strRef>
              <c:f>Otimização!$F$26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Otimização!$A$27:$A$34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Otimização!$F$27:$F$34</c:f>
              <c:numCache>
                <c:formatCode>General</c:formatCode>
                <c:ptCount val="8"/>
                <c:pt idx="0">
                  <c:v>1.159912109375</c:v>
                </c:pt>
                <c:pt idx="1">
                  <c:v>1.32669472694396</c:v>
                </c:pt>
                <c:pt idx="2">
                  <c:v>1.35171175003051</c:v>
                </c:pt>
                <c:pt idx="3">
                  <c:v>1.3551158905029199</c:v>
                </c:pt>
                <c:pt idx="4">
                  <c:v>1.25536108016967</c:v>
                </c:pt>
                <c:pt idx="5">
                  <c:v>1.3051517009735101</c:v>
                </c:pt>
                <c:pt idx="6">
                  <c:v>1.33801770210266</c:v>
                </c:pt>
                <c:pt idx="7">
                  <c:v>1.3908541202545099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9-4234-BA66-130B521D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665023"/>
        <c:axId val="1489643391"/>
      </c:scatterChart>
      <c:valAx>
        <c:axId val="108644031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Restrição - disponibilidade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055"/>
        <c:crosses val="autoZero"/>
        <c:crossBetween val="midCat"/>
      </c:valAx>
      <c:valAx>
        <c:axId val="1086290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4031"/>
        <c:crosses val="autoZero"/>
        <c:crossBetween val="midCat"/>
      </c:valAx>
      <c:valAx>
        <c:axId val="1489643391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9665023"/>
        <c:crosses val="max"/>
        <c:crossBetween val="midCat"/>
      </c:valAx>
      <c:valAx>
        <c:axId val="148966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64339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Distribuição 9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Otimização!$B$12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Otimização!$B$13:$B$24</c:f>
              <c:numCache>
                <c:formatCode>0.00000</c:formatCode>
                <c:ptCount val="12"/>
                <c:pt idx="0">
                  <c:v>45223089.682993203</c:v>
                </c:pt>
                <c:pt idx="1">
                  <c:v>45223089.682992399</c:v>
                </c:pt>
                <c:pt idx="2">
                  <c:v>45223087.957101896</c:v>
                </c:pt>
                <c:pt idx="3">
                  <c:v>6107572.2693066299</c:v>
                </c:pt>
                <c:pt idx="4">
                  <c:v>6107572.2693066299</c:v>
                </c:pt>
                <c:pt idx="5">
                  <c:v>6107572.2693066299</c:v>
                </c:pt>
                <c:pt idx="6">
                  <c:v>6107572.2693066299</c:v>
                </c:pt>
                <c:pt idx="7">
                  <c:v>6107572.2693066299</c:v>
                </c:pt>
                <c:pt idx="8">
                  <c:v>6107572.2693066299</c:v>
                </c:pt>
                <c:pt idx="9">
                  <c:v>6107572.2693066299</c:v>
                </c:pt>
                <c:pt idx="10">
                  <c:v>6107572.2693066299</c:v>
                </c:pt>
                <c:pt idx="11">
                  <c:v>6107572.2693066299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D-4BDC-9A84-92AAC06A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60031"/>
        <c:axId val="487849215"/>
      </c:scatterChart>
      <c:scatterChart>
        <c:scatterStyle val="lineMarker"/>
        <c:varyColors val="0"/>
        <c:ser>
          <c:idx val="1"/>
          <c:order val="1"/>
          <c:tx>
            <c:strRef>
              <c:f>Otimização!$C$12</c:f>
              <c:strCache>
                <c:ptCount val="1"/>
                <c:pt idx="0">
                  <c:v>Intervalo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Otimização!$C$13:$C$24</c:f>
              <c:numCache>
                <c:formatCode>0.0000000</c:formatCode>
                <c:ptCount val="12"/>
                <c:pt idx="0">
                  <c:v>236.83501593</c:v>
                </c:pt>
                <c:pt idx="1">
                  <c:v>98.280018479999995</c:v>
                </c:pt>
                <c:pt idx="2">
                  <c:v>65.214743709999993</c:v>
                </c:pt>
                <c:pt idx="3">
                  <c:v>15.859004410000001</c:v>
                </c:pt>
                <c:pt idx="4">
                  <c:v>15.824573750000001</c:v>
                </c:pt>
                <c:pt idx="5">
                  <c:v>15.80558079</c:v>
                </c:pt>
                <c:pt idx="6">
                  <c:v>15.26289341</c:v>
                </c:pt>
                <c:pt idx="7">
                  <c:v>15.99685481</c:v>
                </c:pt>
                <c:pt idx="8">
                  <c:v>15.51433589</c:v>
                </c:pt>
                <c:pt idx="9">
                  <c:v>15.21762648</c:v>
                </c:pt>
                <c:pt idx="10">
                  <c:v>15.01571996</c:v>
                </c:pt>
                <c:pt idx="11">
                  <c:v>15.62527708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D-4BDC-9A84-92AAC06A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495"/>
        <c:axId val="575302143"/>
      </c:scatterChart>
      <c:valAx>
        <c:axId val="487860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49215"/>
        <c:crosses val="autoZero"/>
        <c:crossBetween val="midCat"/>
      </c:valAx>
      <c:valAx>
        <c:axId val="487849215"/>
        <c:scaling>
          <c:orientation val="minMax"/>
          <c:max val="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[R$]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600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575302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290495"/>
        <c:crosses val="max"/>
        <c:crossBetween val="midCat"/>
      </c:valAx>
      <c:valAx>
        <c:axId val="57529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3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Distribuição 4319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Otimização!$D$2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Otimização!$D$3:$D$10</c:f>
              <c:numCache>
                <c:formatCode>0.00000000</c:formatCode>
                <c:ptCount val="8"/>
                <c:pt idx="0">
                  <c:v>0.40157144833038999</c:v>
                </c:pt>
                <c:pt idx="1">
                  <c:v>0.94502262624518996</c:v>
                </c:pt>
                <c:pt idx="2">
                  <c:v>0.94502262624518996</c:v>
                </c:pt>
                <c:pt idx="3">
                  <c:v>0.94502262624518996</c:v>
                </c:pt>
                <c:pt idx="4">
                  <c:v>0.94502262624518996</c:v>
                </c:pt>
                <c:pt idx="5">
                  <c:v>0.94502262624518996</c:v>
                </c:pt>
                <c:pt idx="6">
                  <c:v>0.94502262624518996</c:v>
                </c:pt>
                <c:pt idx="7">
                  <c:v>0.94502262624518996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3-4270-BE1D-DABBB03F8293}"/>
            </c:ext>
          </c:extLst>
        </c:ser>
        <c:ser>
          <c:idx val="1"/>
          <c:order val="1"/>
          <c:tx>
            <c:strRef>
              <c:f>Otimização!$E$2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Otimização!$E$3:$E$10</c:f>
              <c:numCache>
                <c:formatCode>0.00000000</c:formatCode>
                <c:ptCount val="8"/>
                <c:pt idx="0">
                  <c:v>0.99001216445960405</c:v>
                </c:pt>
                <c:pt idx="1">
                  <c:v>0.98193041912031098</c:v>
                </c:pt>
                <c:pt idx="2">
                  <c:v>0.98193041912031098</c:v>
                </c:pt>
                <c:pt idx="3">
                  <c:v>0.98193041912031098</c:v>
                </c:pt>
                <c:pt idx="4">
                  <c:v>0.98193041912031098</c:v>
                </c:pt>
                <c:pt idx="5">
                  <c:v>0.98193041912031098</c:v>
                </c:pt>
                <c:pt idx="6">
                  <c:v>0.98193041912031098</c:v>
                </c:pt>
                <c:pt idx="7">
                  <c:v>0.98193041912031098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3-4270-BE1D-DABBB03F8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4031"/>
        <c:axId val="108629055"/>
        <c:extLst/>
      </c:scatterChart>
      <c:scatterChart>
        <c:scatterStyle val="lineMarker"/>
        <c:varyColors val="0"/>
        <c:ser>
          <c:idx val="2"/>
          <c:order val="2"/>
          <c:tx>
            <c:strRef>
              <c:f>Otimização!$F$2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Otimização!$F$3:$F$10</c:f>
              <c:numCache>
                <c:formatCode>0.00000000</c:formatCode>
                <c:ptCount val="8"/>
                <c:pt idx="0">
                  <c:v>1.21261382102966</c:v>
                </c:pt>
                <c:pt idx="1">
                  <c:v>1.18518567085266</c:v>
                </c:pt>
                <c:pt idx="2">
                  <c:v>1.2899019718170099</c:v>
                </c:pt>
                <c:pt idx="3">
                  <c:v>1.2899019718170099</c:v>
                </c:pt>
                <c:pt idx="4">
                  <c:v>1.2488148212432799</c:v>
                </c:pt>
                <c:pt idx="5">
                  <c:v>1.1983151435852</c:v>
                </c:pt>
                <c:pt idx="6">
                  <c:v>1.3356575965881301</c:v>
                </c:pt>
                <c:pt idx="7">
                  <c:v>1.3085746765136701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9-4A2B-9E22-66CA58FBE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38767"/>
        <c:axId val="1365942511"/>
      </c:scatterChart>
      <c:valAx>
        <c:axId val="108644031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055"/>
        <c:crosses val="autoZero"/>
        <c:crossBetween val="midCat"/>
      </c:valAx>
      <c:valAx>
        <c:axId val="108629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4031"/>
        <c:crosses val="autoZero"/>
        <c:crossBetween val="midCat"/>
      </c:valAx>
      <c:valAx>
        <c:axId val="1365942511"/>
        <c:scaling>
          <c:orientation val="minMax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938767"/>
        <c:crosses val="max"/>
        <c:crossBetween val="midCat"/>
      </c:valAx>
      <c:valAx>
        <c:axId val="136593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594251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4319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Otimização!$B$2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Otimização!$B$3:$B$10</c:f>
              <c:numCache>
                <c:formatCode>0.0000</c:formatCode>
                <c:ptCount val="8"/>
                <c:pt idx="0">
                  <c:v>1669483.27797187</c:v>
                </c:pt>
                <c:pt idx="1">
                  <c:v>635452.11347614904</c:v>
                </c:pt>
                <c:pt idx="2">
                  <c:v>635452.11347614904</c:v>
                </c:pt>
                <c:pt idx="3">
                  <c:v>635452.11347614904</c:v>
                </c:pt>
                <c:pt idx="4">
                  <c:v>635452.11347614904</c:v>
                </c:pt>
                <c:pt idx="5">
                  <c:v>635452.11347614904</c:v>
                </c:pt>
                <c:pt idx="6">
                  <c:v>635452.11347614904</c:v>
                </c:pt>
                <c:pt idx="7">
                  <c:v>635452.11347614904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2-46C5-95EF-A5BB391E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60031"/>
        <c:axId val="487849215"/>
      </c:scatterChart>
      <c:scatterChart>
        <c:scatterStyle val="lineMarker"/>
        <c:varyColors val="0"/>
        <c:ser>
          <c:idx val="1"/>
          <c:order val="1"/>
          <c:tx>
            <c:strRef>
              <c:f>Otimização!$C$2</c:f>
              <c:strCache>
                <c:ptCount val="1"/>
                <c:pt idx="0">
                  <c:v>Intervalo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Otimização!$A$3:$A$10</c:f>
              <c:numCache>
                <c:formatCode>General</c:formatCode>
                <c:ptCount val="8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</c:v>
                </c:pt>
              </c:numCache>
            </c:numRef>
          </c:xVal>
          <c:yVal>
            <c:numRef>
              <c:f>Otimização!$C$3:$C$10</c:f>
              <c:numCache>
                <c:formatCode>0.00000000</c:formatCode>
                <c:ptCount val="8"/>
                <c:pt idx="0">
                  <c:v>416.90187949</c:v>
                </c:pt>
                <c:pt idx="1">
                  <c:v>169.20117776000001</c:v>
                </c:pt>
                <c:pt idx="2">
                  <c:v>169.80045398999999</c:v>
                </c:pt>
                <c:pt idx="3">
                  <c:v>169.46943139999999</c:v>
                </c:pt>
                <c:pt idx="4">
                  <c:v>169.95363019000001</c:v>
                </c:pt>
                <c:pt idx="5">
                  <c:v>169.03018033999999</c:v>
                </c:pt>
                <c:pt idx="6">
                  <c:v>169.28309655000001</c:v>
                </c:pt>
                <c:pt idx="7">
                  <c:v>169.32114598999999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2-46C5-95EF-A5BB391E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495"/>
        <c:axId val="575302143"/>
      </c:scatterChart>
      <c:valAx>
        <c:axId val="487860031"/>
        <c:scaling>
          <c:orientation val="minMax"/>
          <c:max val="0.99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49215"/>
        <c:crosses val="autoZero"/>
        <c:crossBetween val="midCat"/>
      </c:valAx>
      <c:valAx>
        <c:axId val="487849215"/>
        <c:scaling>
          <c:orientation val="minMax"/>
          <c:min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[R$]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600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575302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Intervalo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290495"/>
        <c:crosses val="max"/>
        <c:crossBetween val="midCat"/>
      </c:valAx>
      <c:valAx>
        <c:axId val="57529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3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Distribuição 9 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Otimização!$D$12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Otimização!$D$13:$D$24</c:f>
              <c:numCache>
                <c:formatCode>0.0000000</c:formatCode>
                <c:ptCount val="12"/>
                <c:pt idx="0">
                  <c:v>0</c:v>
                </c:pt>
                <c:pt idx="1">
                  <c:v>1.8873791418627601E-14</c:v>
                </c:pt>
                <c:pt idx="2">
                  <c:v>3.9336198853767699E-8</c:v>
                </c:pt>
                <c:pt idx="3">
                  <c:v>0.99320590965664601</c:v>
                </c:pt>
                <c:pt idx="4">
                  <c:v>0.99320590965664601</c:v>
                </c:pt>
                <c:pt idx="5">
                  <c:v>0.99320590965664601</c:v>
                </c:pt>
                <c:pt idx="6">
                  <c:v>0.99320590965664601</c:v>
                </c:pt>
                <c:pt idx="7">
                  <c:v>0.99320590965664601</c:v>
                </c:pt>
                <c:pt idx="8">
                  <c:v>0.99320590965664601</c:v>
                </c:pt>
                <c:pt idx="9">
                  <c:v>0.99320590965664601</c:v>
                </c:pt>
                <c:pt idx="10">
                  <c:v>0.99320590965664601</c:v>
                </c:pt>
                <c:pt idx="11">
                  <c:v>0.99320590965664601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4-438A-B5A3-7BBD8F60BCEC}"/>
            </c:ext>
          </c:extLst>
        </c:ser>
        <c:ser>
          <c:idx val="1"/>
          <c:order val="1"/>
          <c:tx>
            <c:strRef>
              <c:f>Otimização!$E$12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Otimização!$E$13:$E$24</c:f>
              <c:numCache>
                <c:formatCode>0.0000000</c:formatCode>
                <c:ptCount val="12"/>
                <c:pt idx="0">
                  <c:v>0.99159663865546199</c:v>
                </c:pt>
                <c:pt idx="1">
                  <c:v>0.98</c:v>
                </c:pt>
                <c:pt idx="2">
                  <c:v>0.97014925458571599</c:v>
                </c:pt>
                <c:pt idx="3">
                  <c:v>0.96710607038576002</c:v>
                </c:pt>
                <c:pt idx="4">
                  <c:v>0.96710607038576002</c:v>
                </c:pt>
                <c:pt idx="5">
                  <c:v>0.96710607038576002</c:v>
                </c:pt>
                <c:pt idx="6">
                  <c:v>0.96710607038576002</c:v>
                </c:pt>
                <c:pt idx="7">
                  <c:v>0.96710607038576002</c:v>
                </c:pt>
                <c:pt idx="8">
                  <c:v>0.96710607038576002</c:v>
                </c:pt>
                <c:pt idx="9">
                  <c:v>0.96710607038576002</c:v>
                </c:pt>
                <c:pt idx="10">
                  <c:v>0.96710607038576002</c:v>
                </c:pt>
                <c:pt idx="11">
                  <c:v>0.96710607038576002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E4-438A-B5A3-7BBD8F60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4031"/>
        <c:axId val="108629055"/>
        <c:extLst/>
      </c:scatterChart>
      <c:scatterChart>
        <c:scatterStyle val="lineMarker"/>
        <c:varyColors val="0"/>
        <c:ser>
          <c:idx val="2"/>
          <c:order val="2"/>
          <c:tx>
            <c:strRef>
              <c:f>Otimização!$F$12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Otimização!$A$13:$A$24</c:f>
              <c:numCache>
                <c:formatCode>General</c:formatCode>
                <c:ptCount val="12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0.94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0.9</c:v>
                </c:pt>
                <c:pt idx="10">
                  <c:v>0.85</c:v>
                </c:pt>
                <c:pt idx="11">
                  <c:v>0.8</c:v>
                </c:pt>
              </c:numCache>
            </c:numRef>
          </c:xVal>
          <c:yVal>
            <c:numRef>
              <c:f>Otimização!$F$13:$F$24</c:f>
              <c:numCache>
                <c:formatCode>0.0000000</c:formatCode>
                <c:ptCount val="12"/>
                <c:pt idx="0">
                  <c:v>0.73809480667114202</c:v>
                </c:pt>
                <c:pt idx="1">
                  <c:v>0.90062403678893999</c:v>
                </c:pt>
                <c:pt idx="2">
                  <c:v>1.0524559020996</c:v>
                </c:pt>
                <c:pt idx="3">
                  <c:v>1.1448671817779501</c:v>
                </c:pt>
                <c:pt idx="4">
                  <c:v>1.1747455596923799</c:v>
                </c:pt>
                <c:pt idx="5">
                  <c:v>1.11587738990783</c:v>
                </c:pt>
                <c:pt idx="6">
                  <c:v>1.2358481884002599</c:v>
                </c:pt>
                <c:pt idx="7">
                  <c:v>1.21982192993164</c:v>
                </c:pt>
                <c:pt idx="8">
                  <c:v>1.2014532089233301</c:v>
                </c:pt>
                <c:pt idx="9">
                  <c:v>1.24509048461914</c:v>
                </c:pt>
                <c:pt idx="10">
                  <c:v>1.27835392951965</c:v>
                </c:pt>
                <c:pt idx="11">
                  <c:v>1.2104341983795099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6-46C7-AFC0-404E641BE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56991"/>
        <c:axId val="1198556575"/>
      </c:scatterChart>
      <c:valAx>
        <c:axId val="108644031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Restrição - disponibilidade</a:t>
                </a:r>
                <a:endParaRPr lang="pt-B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29055"/>
        <c:crosses val="autoZero"/>
        <c:crossBetween val="midCat"/>
      </c:valAx>
      <c:valAx>
        <c:axId val="108629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4031"/>
        <c:crosses val="autoZero"/>
        <c:crossBetween val="midCat"/>
      </c:valAx>
      <c:valAx>
        <c:axId val="1198556575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556991"/>
        <c:crosses val="max"/>
        <c:crossBetween val="midCat"/>
      </c:valAx>
      <c:valAx>
        <c:axId val="1198556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855657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Restrição de  confiabildiade</a:t>
            </a:r>
            <a:r>
              <a:rPr lang="pt-BR" baseline="0"/>
              <a:t> de </a:t>
            </a:r>
            <a:r>
              <a:rPr lang="pt-BR"/>
              <a:t>95%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Otimização!$D$36</c:f>
              <c:strCache>
                <c:ptCount val="1"/>
                <c:pt idx="0">
                  <c:v>Confiabilidade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Otimização!$D$37:$D$39</c:f>
              <c:numCache>
                <c:formatCode>0.000000000</c:formatCode>
                <c:ptCount val="3"/>
                <c:pt idx="0" formatCode="General">
                  <c:v>0.95027878444165004</c:v>
                </c:pt>
                <c:pt idx="1">
                  <c:v>0.99320590965664601</c:v>
                </c:pt>
                <c:pt idx="2" formatCode="General">
                  <c:v>0.99798001879907905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0-4238-8338-C6CDA5235ACC}"/>
            </c:ext>
          </c:extLst>
        </c:ser>
        <c:ser>
          <c:idx val="1"/>
          <c:order val="1"/>
          <c:tx>
            <c:strRef>
              <c:f>Otimização!$E$36</c:f>
              <c:strCache>
                <c:ptCount val="1"/>
                <c:pt idx="0">
                  <c:v>Disponibilidade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Otimização!$E$37:$E$39</c:f>
              <c:numCache>
                <c:formatCode>General</c:formatCode>
                <c:ptCount val="3"/>
                <c:pt idx="0">
                  <c:v>0.98156185180455402</c:v>
                </c:pt>
                <c:pt idx="1">
                  <c:v>0.96710607038576002</c:v>
                </c:pt>
                <c:pt idx="2">
                  <c:v>0.99080732649382297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0-4238-8338-C6CDA52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0700959"/>
        <c:axId val="700701375"/>
      </c:scatterChart>
      <c:scatterChart>
        <c:scatterStyle val="lineMarker"/>
        <c:varyColors val="0"/>
        <c:ser>
          <c:idx val="2"/>
          <c:order val="2"/>
          <c:tx>
            <c:strRef>
              <c:f>Otimização!$B$36</c:f>
              <c:strCache>
                <c:ptCount val="1"/>
                <c:pt idx="0">
                  <c:v>Custo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7784477753589807E-2"/>
                  <c:y val="-7.7570136845413251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E0-4238-8338-C6CDA5235ACC}"/>
                </c:ext>
              </c:extLst>
            </c:dLbl>
            <c:dLbl>
              <c:idx val="1"/>
              <c:layout>
                <c:manualLayout>
                  <c:x val="3.8913313732714963E-2"/>
                  <c:y val="-5.5143130588806717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E0-4238-8338-C6CDA5235ACC}"/>
                </c:ext>
              </c:extLst>
            </c:dLbl>
            <c:dLbl>
              <c:idx val="2"/>
              <c:layout>
                <c:manualLayout>
                  <c:x val="-0.14726769855021901"/>
                  <c:y val="-8.6171185326971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E0-4238-8338-C6CDA5235ACC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Otimização!$B$37:$B$39</c:f>
              <c:numCache>
                <c:formatCode>0.0000</c:formatCode>
                <c:ptCount val="3"/>
                <c:pt idx="0">
                  <c:v>636196.92059508699</c:v>
                </c:pt>
                <c:pt idx="1">
                  <c:v>6107572.2693066299</c:v>
                </c:pt>
                <c:pt idx="2" formatCode="General">
                  <c:v>413349.28432617499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0-4238-8338-C6CDA5235ACC}"/>
            </c:ext>
          </c:extLst>
        </c:ser>
        <c:ser>
          <c:idx val="3"/>
          <c:order val="3"/>
          <c:tx>
            <c:strRef>
              <c:f>Otimização!$G$36</c:f>
              <c:strCache>
                <c:ptCount val="1"/>
                <c:pt idx="0">
                  <c:v>Custo mínimo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7786829580116388E-2"/>
                  <c:y val="5.5530954489614341E-3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E0-4238-8338-C6CDA5235ACC}"/>
                </c:ext>
              </c:extLst>
            </c:dLbl>
            <c:dLbl>
              <c:idx val="1"/>
              <c:layout>
                <c:manualLayout>
                  <c:x val="3.8949948074186745E-2"/>
                  <c:y val="4.1600719938291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E0-4238-8338-C6CDA5235ACC}"/>
                </c:ext>
              </c:extLst>
            </c:dLbl>
            <c:dLbl>
              <c:idx val="2"/>
              <c:layout>
                <c:manualLayout>
                  <c:x val="-0.14737902293567226"/>
                  <c:y val="-9.46204611033340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E0-4238-8338-C6CDA5235ACC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Otimização!$A$37:$A$39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Otimização!$G$37:$G$39</c:f>
              <c:numCache>
                <c:formatCode>General</c:formatCode>
                <c:ptCount val="3"/>
                <c:pt idx="0">
                  <c:v>635452.11347614904</c:v>
                </c:pt>
                <c:pt idx="1">
                  <c:v>6107572.2693066299</c:v>
                </c:pt>
                <c:pt idx="2">
                  <c:v>413349.28432617499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0-4238-8338-C6CDA52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65507471"/>
        <c:axId val="765506639"/>
      </c:scatterChart>
      <c:valAx>
        <c:axId val="700700959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Distribuição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0701375"/>
        <c:crosses val="autoZero"/>
        <c:crossBetween val="midCat"/>
        <c:majorUnit val="1"/>
      </c:valAx>
      <c:valAx>
        <c:axId val="700701375"/>
        <c:scaling>
          <c:orientation val="minMax"/>
          <c:max val="1"/>
          <c:min val="0.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Disponibilidade</a:t>
                </a:r>
                <a:r>
                  <a:rPr lang="pt-BR" baseline="0"/>
                  <a:t> e confiabilidade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0700959"/>
        <c:crosses val="autoZero"/>
        <c:crossBetween val="midCat"/>
      </c:valAx>
      <c:valAx>
        <c:axId val="765506639"/>
        <c:scaling>
          <c:orientation val="minMax"/>
          <c:max val="10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 de operação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5507471"/>
        <c:crosses val="max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765507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5506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22</xdr:row>
      <xdr:rowOff>87312</xdr:rowOff>
    </xdr:from>
    <xdr:to>
      <xdr:col>17</xdr:col>
      <xdr:colOff>142875</xdr:colOff>
      <xdr:row>37</xdr:row>
      <xdr:rowOff>122237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953A8C1-D288-4E2E-BE7D-9FCADCE2C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168275</xdr:colOff>
      <xdr:row>38</xdr:row>
      <xdr:rowOff>11112</xdr:rowOff>
    </xdr:from>
    <xdr:to>
      <xdr:col>17</xdr:col>
      <xdr:colOff>130175</xdr:colOff>
      <xdr:row>53</xdr:row>
      <xdr:rowOff>46037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9E452F-760F-47A5-B61B-255DD3803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190500</xdr:colOff>
      <xdr:row>53</xdr:row>
      <xdr:rowOff>179387</xdr:rowOff>
    </xdr:from>
    <xdr:to>
      <xdr:col>17</xdr:col>
      <xdr:colOff>152400</xdr:colOff>
      <xdr:row>69</xdr:row>
      <xdr:rowOff>39687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52841F5-6AD0-486C-BE41-DB39E308A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1106487</xdr:colOff>
      <xdr:row>37</xdr:row>
      <xdr:rowOff>93662</xdr:rowOff>
    </xdr:from>
    <xdr:to>
      <xdr:col>10</xdr:col>
      <xdr:colOff>1047750</xdr:colOff>
      <xdr:row>52</xdr:row>
      <xdr:rowOff>149225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D746533-28A7-4B11-9DF7-727F8F770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1131888</xdr:colOff>
      <xdr:row>53</xdr:row>
      <xdr:rowOff>46037</xdr:rowOff>
    </xdr:from>
    <xdr:to>
      <xdr:col>10</xdr:col>
      <xdr:colOff>1063625</xdr:colOff>
      <xdr:row>68</xdr:row>
      <xdr:rowOff>44450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1AF52C0-8E37-464E-9BCD-C2416274D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1120775</xdr:colOff>
      <xdr:row>68</xdr:row>
      <xdr:rowOff>103187</xdr:rowOff>
    </xdr:from>
    <xdr:to>
      <xdr:col>10</xdr:col>
      <xdr:colOff>1016000</xdr:colOff>
      <xdr:row>83</xdr:row>
      <xdr:rowOff>144462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3B4407A-7AED-4616-8533-35AFF2630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5</xdr:row>
      <xdr:rowOff>11112</xdr:rowOff>
    </xdr:from>
    <xdr:to>
      <xdr:col>11</xdr:col>
      <xdr:colOff>111125</xdr:colOff>
      <xdr:row>20</xdr:row>
      <xdr:rowOff>46037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309732-9852-4F82-AC2A-2F884155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4</xdr:row>
      <xdr:rowOff>36512</xdr:rowOff>
    </xdr:from>
    <xdr:to>
      <xdr:col>14</xdr:col>
      <xdr:colOff>171450</xdr:colOff>
      <xdr:row>19</xdr:row>
      <xdr:rowOff>74612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F403B8-D3CF-4B72-839F-CF66A300D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4</xdr:row>
      <xdr:rowOff>58737</xdr:rowOff>
    </xdr:from>
    <xdr:to>
      <xdr:col>16</xdr:col>
      <xdr:colOff>352425</xdr:colOff>
      <xdr:row>19</xdr:row>
      <xdr:rowOff>93662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28472-85F2-461A-A8EF-4CBDCCD7B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33</xdr:row>
      <xdr:rowOff>179387</xdr:rowOff>
    </xdr:from>
    <xdr:to>
      <xdr:col>14</xdr:col>
      <xdr:colOff>381000</xdr:colOff>
      <xdr:row>49</xdr:row>
      <xdr:rowOff>36512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02E1F9-A762-4985-A04F-1BFAA3A94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466725</xdr:colOff>
      <xdr:row>34</xdr:row>
      <xdr:rowOff>9525</xdr:rowOff>
    </xdr:from>
    <xdr:to>
      <xdr:col>21</xdr:col>
      <xdr:colOff>295275</xdr:colOff>
      <xdr:row>49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29A135-AA0F-4E2A-A184-20DC37302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120650</xdr:colOff>
      <xdr:row>17</xdr:row>
      <xdr:rowOff>49212</xdr:rowOff>
    </xdr:from>
    <xdr:to>
      <xdr:col>12</xdr:col>
      <xdr:colOff>292100</xdr:colOff>
      <xdr:row>32</xdr:row>
      <xdr:rowOff>84137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F89537-B6A5-4157-A5A2-D9BF47BCA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352425</xdr:colOff>
      <xdr:row>0</xdr:row>
      <xdr:rowOff>57150</xdr:rowOff>
    </xdr:from>
    <xdr:to>
      <xdr:col>19</xdr:col>
      <xdr:colOff>180975</xdr:colOff>
      <xdr:row>15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CAD6D24-6AD9-4D61-A1A7-DF241334F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85725</xdr:colOff>
      <xdr:row>0</xdr:row>
      <xdr:rowOff>55562</xdr:rowOff>
    </xdr:from>
    <xdr:to>
      <xdr:col>12</xdr:col>
      <xdr:colOff>254000</xdr:colOff>
      <xdr:row>15</xdr:row>
      <xdr:rowOff>96837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2E3F92-31AF-4DF1-B6CB-5D475B541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381000</xdr:colOff>
      <xdr:row>17</xdr:row>
      <xdr:rowOff>34925</xdr:rowOff>
    </xdr:from>
    <xdr:to>
      <xdr:col>19</xdr:col>
      <xdr:colOff>209550</xdr:colOff>
      <xdr:row>32</xdr:row>
      <xdr:rowOff>85725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1BB2EE0-F1B7-4236-BA23-44894A20A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628650</xdr:colOff>
      <xdr:row>47</xdr:row>
      <xdr:rowOff>74612</xdr:rowOff>
    </xdr:from>
    <xdr:to>
      <xdr:col>4</xdr:col>
      <xdr:colOff>1076325</xdr:colOff>
      <xdr:row>62</xdr:row>
      <xdr:rowOff>115887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F23B99-608A-46BB-ABDB-FF78ED024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F4BCB-653F-4331-ACD9-9EF26BC02590}" name="Tabela1" displayName="Tabela1" ref="F1:N6" totalsRowShown="0" headerRowDxfId="32" dataDxfId="31">
  <autoFilter ref="F1:N6" xr:uid="{C4BF4BCB-653F-4331-ACD9-9EF26BC02590}"/>
  <tableColumns count="9">
    <tableColumn id="1" xr3:uid="{664CCFD5-13BE-48F5-831D-A81148CE5934}" name="Tempo 1" dataDxfId="30"/>
    <tableColumn id="7" xr3:uid="{DA328166-0F62-403A-9F8D-4F23C37F86DA}" name="z" dataDxfId="29">
      <calculatedColumnFormula>($B$6-LN(Tabela1[[#This Row],[Tempo 1]]))/$B$7</calculatedColumnFormula>
    </tableColumn>
    <tableColumn id="2" xr3:uid="{58A4E70C-B154-499C-A83D-16703422D9D6}" name="Confiabilidade 1" dataDxfId="23">
      <calculatedColumnFormula>IF(Tabela1[[#This Row],[z]]&gt;=0, 1-(((4-PI())*Tabela1[[#This Row],[z]]+SQRT(2*PI())*(PI()-2))/(((4-PI())*SQRT(2*PI())*Tabela1[[#This Row],[z]]^2)+(2*PI()*Tabela1[[#This Row],[z]])+(2*SQRT(2*PI())*(PI()-2))))*EXP(-(Tabela1[[#This Row],[z]]^2)/2), (((4-PI())*ABS(Tabela1[[#This Row],[z]])+SQRT(2*PI())*(PI()-2))/(((4-PI())*SQRT(2*PI())*Tabela1[[#This Row],[z]]^2)+(2*PI()*ABS(Tabela1[[#This Row],[z]]))+(2*SQRT(2*PI())*(PI()-2))))*EXP(-(Tabela1[[#This Row],[z]]^2)/2))</calculatedColumnFormula>
    </tableColumn>
    <tableColumn id="3" xr3:uid="{EA735E32-B1AE-47AE-A2DA-64DF86D19A8F}" name="Tempo 2" dataDxfId="28"/>
    <tableColumn id="8" xr3:uid="{272A77A3-96B0-4423-9F9B-10D83D78636C}" name="z2" dataDxfId="27">
      <calculatedColumnFormula>($C$6-LN(Tabela1[[#This Row],[Tempo 2]]))/$C$7</calculatedColumnFormula>
    </tableColumn>
    <tableColumn id="4" xr3:uid="{49B50FFC-5863-4856-BC92-F3B65CC06D69}" name="Confiabilidade 2" dataDxfId="21">
      <calculatedColumnFormula>IF(Tabela1[[#This Row],[z2]]&gt;=0, 1-(((4-PI())*Tabela1[[#This Row],[z2]]+SQRT(2*PI())*(PI()-2))/(((4-PI())*SQRT(2*PI())*Tabela1[[#This Row],[z2]]^2)+(2*PI()*Tabela1[[#This Row],[z2]])+(2*SQRT(2*PI())*(PI()-2))))*EXP(-(Tabela1[[#This Row],[z2]]^2)/2), (((4-PI())*ABS(Tabela1[[#This Row],[z2]])+SQRT(2*PI())*(PI()-2))/(((4-PI())*SQRT(2*PI())*Tabela1[[#This Row],[z2]]^2)+(2*PI()*ABS(Tabela1[[#This Row],[z2]]))+(2*SQRT(2*PI())*(PI()-2))))*EXP(-(Tabela1[[#This Row],[z2]]^2)/2))</calculatedColumnFormula>
    </tableColumn>
    <tableColumn id="5" xr3:uid="{D679871E-1A2A-4C44-AB14-26DC8BA2ABE5}" name="Tempo 3" dataDxfId="26"/>
    <tableColumn id="9" xr3:uid="{FE666176-A91C-49C6-B2DB-447B870F56DB}" name="z3" dataDxfId="16">
      <calculatedColumnFormula>($D$6-LN(Tabela1[[#This Row],[Tempo 3]]))/$D$7</calculatedColumnFormula>
    </tableColumn>
    <tableColumn id="6" xr3:uid="{485AD8A3-FB46-416E-BDE3-440FEA41085F}" name="Confiabilidade 3" dataDxfId="20">
      <calculatedColumnFormula>IF(Tabela1[[#This Row],[z3]]&gt;=0, 1-(((4-PI())*Tabela1[[#This Row],[z3]]+SQRT(2*PI())*(PI()-2))/(((4-PI())*SQRT(2*PI())*Tabela1[[#This Row],[z3]]^2)+(2*PI()*Tabela1[[#This Row],[z3]])+(2*SQRT(2*PI())*(PI()-2))))*EXP(-(Tabela1[[#This Row],[z3]]^2)/2), (((4-PI())*ABS(Tabela1[[#This Row],[z3]])+SQRT(2*PI())*(PI()-2))/(((4-PI())*SQRT(2*PI())*Tabela1[[#This Row],[z3]]^2)+(2*PI()*ABS(Tabela1[[#This Row],[z3]]))+(2*SQRT(2*PI())*(PI()-2))))*EXP(-(Tabela1[[#This Row],[z3]]^2)/2))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629942-2D0A-4174-9586-10CCB047D8C2}" name="Tabela2" displayName="Tabela2" ref="F8:Q22" totalsRowShown="0" headerRowDxfId="51">
  <autoFilter ref="F8:Q22" xr:uid="{84629942-2D0A-4174-9586-10CCB047D8C2}"/>
  <tableColumns count="12">
    <tableColumn id="1" xr3:uid="{34E80AD5-889D-4D55-A90A-12CEDE788ADC}" name="Intervalo 1" dataDxfId="50"/>
    <tableColumn id="10" xr3:uid="{2A1704A8-5E23-4A1E-AE03-2140D472C5DB}" name="z" dataDxfId="25">
      <calculatedColumnFormula>($B$6-LN(Tabela2[[#This Row],[Intervalo 1]]))/$B$7</calculatedColumnFormula>
    </tableColumn>
    <tableColumn id="2" xr3:uid="{D6C78803-3D69-4FA6-91F3-B8F6C5237716}" name="Confiabilidade 1" dataDxfId="22">
      <calculatedColumnFormula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calculatedColumnFormula>
    </tableColumn>
    <tableColumn id="3" xr3:uid="{FC366ABF-D588-4C80-BF15-1762DD6E9A52}" name="Custos 1" dataDxfId="49">
      <calculatedColumnFormula>($B$5/F9)*($B$2*H9)+($B$5/MEDIAN(F$2:F$6)*($B$3+$B$4)*(1-H9))</calculatedColumnFormula>
    </tableColumn>
    <tableColumn id="4" xr3:uid="{87E6A290-5C35-4F05-B116-502612F27A61}" name="Intervalo 2" dataDxfId="48"/>
    <tableColumn id="11" xr3:uid="{754EA13B-6772-4415-8D33-D48C13A123AA}" name="z2" dataDxfId="19">
      <calculatedColumnFormula>($C$6-LN(Tabela2[[#This Row],[Intervalo 2]]))/$C$7</calculatedColumnFormula>
    </tableColumn>
    <tableColumn id="5" xr3:uid="{A4A8B5DF-97A9-4475-BD82-4FAFCD893FF6}" name="Confiabilidade 2" dataDxfId="18">
      <calculatedColumnFormula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calculatedColumnFormula>
    </tableColumn>
    <tableColumn id="6" xr3:uid="{B48B826E-C76B-41A9-865A-451E4D31B386}" name="Custos 2" dataDxfId="47">
      <calculatedColumnFormula>($B$5/J9)*($B$2*L9)+($B$5/MEDIAN(I$2:I$6)*($B$3+$B$4)*(1-L9))</calculatedColumnFormula>
    </tableColumn>
    <tableColumn id="7" xr3:uid="{4D43E344-18C6-427E-A208-9A819F5D59EA}" name="Intervalo 3" dataDxfId="46"/>
    <tableColumn id="12" xr3:uid="{E13FF10B-3E12-44FF-9C35-CFE98084B2DD}" name="z3" dataDxfId="24">
      <calculatedColumnFormula>($D$6-LN(Tabela2[[#This Row],[Intervalo 3]]))/$D$7</calculatedColumnFormula>
    </tableColumn>
    <tableColumn id="8" xr3:uid="{C6EE45E4-C1B5-46DB-A0F0-A60485BFFFE5}" name="Confiabilidade 3" dataDxfId="17">
      <calculatedColumnFormula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calculatedColumnFormula>
    </tableColumn>
    <tableColumn id="9" xr3:uid="{F5150592-17FC-4657-A213-31128D310165}" name="Custos 3" dataDxfId="45">
      <calculatedColumnFormula>($B$5/N9)*($B$2*P9)+($B$5/MEDIAN(L$2:L$6))*(($B$3+$B$4)*(1-P9))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EB38B9-AE27-4A37-9665-35BB63BF85AD}" name="Tabela3" displayName="Tabela3" ref="F23:K37" totalsRowShown="0" headerRowDxfId="44" dataDxfId="43" dataCellStyle="Porcentagem">
  <autoFilter ref="F23:K37" xr:uid="{88EB38B9-AE27-4A37-9665-35BB63BF85AD}"/>
  <tableColumns count="6">
    <tableColumn id="1" xr3:uid="{CFCF50A6-6E3E-44E5-BDCA-5A01C914CF1D}" name="Intervalo 1" dataDxfId="42"/>
    <tableColumn id="2" xr3:uid="{C0097A0D-EBF9-4150-AD5C-A09E4BE6A538}" name="Disponibilidade 1" dataDxfId="41" dataCellStyle="Porcentagem">
      <calculatedColumnFormula>F9/(((H9*B$9)+(1-H9)*B$10)+F9)</calculatedColumnFormula>
    </tableColumn>
    <tableColumn id="3" xr3:uid="{E0298BF7-CC76-4BDD-9CDB-0FA786CFDAB9}" name="Intervalo 2" dataDxfId="40"/>
    <tableColumn id="4" xr3:uid="{C57314A9-1013-478C-9BE1-69FCA481EFEB}" name="Disponibilidade 2" dataDxfId="39" dataCellStyle="Porcentagem">
      <calculatedColumnFormula>J9/(((L9*C$9)+(1-L9)*C$10)+J9)</calculatedColumnFormula>
    </tableColumn>
    <tableColumn id="5" xr3:uid="{9D87930C-A537-41CD-9794-1AA8654F5869}" name="Intervalo 3" dataDxfId="38"/>
    <tableColumn id="6" xr3:uid="{91634436-E407-44C7-9778-1532078177F7}" name="Disponibilidade 3" dataDxfId="37" dataCellStyle="Porcentagem">
      <calculatedColumnFormula>N9/(((P9*D$9)+(1-P9)*D$10)+N9)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3C39F2-1327-47EE-9F16-9F6342D10460}" name="Tabela5" displayName="Tabela5" ref="A1:C102" totalsRowShown="0">
  <autoFilter ref="A1:C102" xr:uid="{E23C39F2-1327-47EE-9F16-9F6342D10460}"/>
  <tableColumns count="3">
    <tableColumn id="1" xr3:uid="{08D13AE8-A4BA-4B5A-8B71-4815B64321D2}" name="Tempo"/>
    <tableColumn id="3" xr3:uid="{CC1A5FAC-EB4D-48FE-A542-1DA041E5C6A3}" name="z" dataDxfId="15">
      <calculatedColumnFormula>($E$2-LN(Tabela5[[#This Row],[Tempo]]))/$E$3</calculatedColumnFormula>
    </tableColumn>
    <tableColumn id="2" xr3:uid="{D2B00276-DF3C-4798-B079-3C554E9E0E4F}" name="Confiabilidade" dataDxfId="14" dataCellStyle="Porcentagem">
      <calculatedColumnFormula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C53C27-355E-4A2A-AEC5-069EB20B0EA3}" name="Tabela6" displayName="Tabela6" ref="A1:C102" totalsRowShown="0">
  <autoFilter ref="A1:C102" xr:uid="{E8C53C27-355E-4A2A-AEC5-069EB20B0EA3}"/>
  <tableColumns count="3">
    <tableColumn id="1" xr3:uid="{E05DA6CF-CD9B-4BE3-AB74-6933175395BD}" name="Tempo"/>
    <tableColumn id="2" xr3:uid="{4C0C6C4B-1430-4C35-B686-41A17BDD4164}" name="z" dataDxfId="13">
      <calculatedColumnFormula>($E$2-LN(Tabela6[[#This Row],[Tempo]]))/$E$3</calculatedColumnFormula>
    </tableColumn>
    <tableColumn id="3" xr3:uid="{3FAE2B23-9889-487A-AC6E-9CA13B1C2376}" name="Confiabilidade" dataDxfId="12" dataCellStyle="Porcentagem">
      <calculatedColumnFormula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C8AC4C-7B19-46A1-ACD9-7BDAF4981E4D}" name="Tabela7" displayName="Tabela7" ref="A1:C102" totalsRowShown="0">
  <autoFilter ref="A1:C102" xr:uid="{97C8AC4C-7B19-46A1-ACD9-7BDAF4981E4D}"/>
  <tableColumns count="3">
    <tableColumn id="1" xr3:uid="{053CDFAB-E582-4079-81DD-B05763FAA081}" name="Tempo"/>
    <tableColumn id="2" xr3:uid="{7F42A13E-AA90-4B4B-8C57-71038FC2FA90}" name="z" dataDxfId="10">
      <calculatedColumnFormula>($E$2-LN(Tabela7[[#This Row],[Tempo]]))/$E$3</calculatedColumnFormula>
    </tableColumn>
    <tableColumn id="3" xr3:uid="{CFFF4CC8-11B9-4F38-809E-D93F04419F27}" name="Confiabilidade" dataDxfId="11" dataCellStyle="Porcentagem">
      <calculatedColumnFormula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D8B62F-10AB-4A1F-AC9A-05BD1DB36B8C}" name="Tabela8" displayName="Tabela8" ref="A2:F10" totalsRowShown="0">
  <autoFilter ref="A2:F10" xr:uid="{F3D8B62F-10AB-4A1F-AC9A-05BD1DB36B8C}"/>
  <tableColumns count="6">
    <tableColumn id="1" xr3:uid="{675C324F-C5E3-43CD-A809-80625C5548C6}" name="Restrição"/>
    <tableColumn id="3" xr3:uid="{00857789-D9FB-4BB0-9021-F81F3BF4F86A}" name="Custo" dataDxfId="4"/>
    <tableColumn id="4" xr3:uid="{30D29FBD-3A11-4EAA-A6C9-36994DC08D11}" name="Intervalo" dataDxfId="3"/>
    <tableColumn id="5" xr3:uid="{ADB7F68B-B104-4A37-BAEE-EAF5FDE65294}" name="Confiabilidade" dataDxfId="2"/>
    <tableColumn id="6" xr3:uid="{C47B3A1B-5482-4C61-8D94-0AD39321D036}" name="Disponibilidade" dataDxfId="1"/>
    <tableColumn id="7" xr3:uid="{BC09ECB0-E620-4029-B6E1-A15EB58C0454}" name="Tempo de execução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B4F5A5-0648-4B26-9B99-CFCAABC257A4}" name="Tabela9" displayName="Tabela9" ref="A12:F24" totalsRowShown="0">
  <autoFilter ref="A12:F24" xr:uid="{34B4F5A5-0648-4B26-9B99-CFCAABC257A4}"/>
  <tableColumns count="6">
    <tableColumn id="1" xr3:uid="{B8E437B3-D846-46A5-9424-E362F8CC7CB1}" name="Restrição"/>
    <tableColumn id="3" xr3:uid="{0538C644-5521-4375-990B-8DD5106C4082}" name="Custo" dataDxfId="9"/>
    <tableColumn id="4" xr3:uid="{5127D8EF-8C6A-4E5C-B70B-04306757F7D2}" name="Intervalo" dataDxfId="8"/>
    <tableColumn id="5" xr3:uid="{A7CB705C-526A-4572-B556-B39BF16FC858}" name="Confiabilidade" dataDxfId="7"/>
    <tableColumn id="6" xr3:uid="{1B9F22F3-FE78-47F6-A56E-E490C5D80FA7}" name="Disponibilidade" dataDxfId="6"/>
    <tableColumn id="7" xr3:uid="{EF68C3A7-8B58-4DE7-B0ED-7A4EA4AD712C}" name="Tempo de execução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21DC6F-21DE-4EB1-8F97-037531818EDE}" name="Tabela10" displayName="Tabela10" ref="A26:F34" totalsRowShown="0">
  <autoFilter ref="A26:F34" xr:uid="{EB21DC6F-21DE-4EB1-8F97-037531818EDE}"/>
  <tableColumns count="6">
    <tableColumn id="1" xr3:uid="{B39E6F95-D40A-4474-9602-3961DDC4EBF9}" name="Restrição"/>
    <tableColumn id="3" xr3:uid="{EED38AA7-8A13-4682-B8AE-D7EBBD8CF4EF}" name="Custo" dataDxfId="36"/>
    <tableColumn id="4" xr3:uid="{7393F1C2-3C6E-4056-8E3A-67B1F852E3A7}" name="Intervalo"/>
    <tableColumn id="5" xr3:uid="{941B7A4C-E9A9-4C3B-BF5B-445BEAB0CECC}" name="Confiabilidade"/>
    <tableColumn id="6" xr3:uid="{988B4CE7-8EF1-4FC1-A7E5-5C631F66BC71}" name="Disponibilidade"/>
    <tableColumn id="7" xr3:uid="{E005EF3C-BB11-440E-A5DB-DE444742B7E0}" name="Tempo de execu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C413E4-506E-47AD-B36D-6ECB57538726}" name="Tabela11" displayName="Tabela11" ref="A36:G39" totalsRowShown="0" headerRowDxfId="35" headerRowBorderDxfId="34" tableBorderDxfId="33">
  <autoFilter ref="A36:G39" xr:uid="{A2C413E4-506E-47AD-B36D-6ECB57538726}"/>
  <tableColumns count="7">
    <tableColumn id="1" xr3:uid="{541A0F84-418B-4A14-A5DD-3BFF5AE775D1}" name="Distribuição"/>
    <tableColumn id="2" xr3:uid="{BBBE952B-FB9F-447D-9A32-FCD3E184877C}" name="Custo"/>
    <tableColumn id="3" xr3:uid="{7F07022C-B392-4FF3-ACCA-B711053FFB52}" name="Intervalo"/>
    <tableColumn id="4" xr3:uid="{B21BA49F-15FB-4D6E-8FF9-6DCCA841F967}" name="Confiabilidade"/>
    <tableColumn id="5" xr3:uid="{A22E82C1-9446-4EC3-87D9-1148E66FA805}" name="Disponibilidade"/>
    <tableColumn id="6" xr3:uid="{CF2FBFEF-1DA8-45A1-8678-182A747B7A01}" name="Tempo de execução"/>
    <tableColumn id="7" xr3:uid="{A6D46253-0E27-46EB-8CDE-3A0922BE9ED1}" name="Custo mínim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38F2C0-15D5-4271-9325-A36512BE823F}" name="Tabela4" displayName="Tabela4" ref="A41:D47" totalsRowShown="0">
  <autoFilter ref="A41:D47" xr:uid="{CA38F2C0-15D5-4271-9325-A36512BE823F}"/>
  <tableColumns count="4">
    <tableColumn id="1" xr3:uid="{97748D67-BFEA-4787-A8DB-3219F44EF6B6}" name="Parâmetro"/>
    <tableColumn id="2" xr3:uid="{A1004955-54C8-4331-9126-D970E883AF99}" name="Distribuição 4319"/>
    <tableColumn id="3" xr3:uid="{CDB2F71F-F048-40F7-996F-D5C7B7084E92}" name="Distribuição 4094"/>
    <tableColumn id="4" xr3:uid="{E13BC823-AAFB-4640-87E1-B612F5C33CAB}" name="Distribuição 18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AA06-5A75-4183-B8BC-9169CDA40832}">
  <dimension ref="A1:T37"/>
  <sheetViews>
    <sheetView workbookViewId="0">
      <selection activeCell="B31" sqref="B31"/>
    </sheetView>
  </sheetViews>
  <sheetFormatPr defaultRowHeight="14.5" x14ac:dyDescent="0.35"/>
  <cols>
    <col min="1" max="1" width="13.453125" bestFit="1" customWidth="1"/>
    <col min="2" max="2" width="13.1796875" bestFit="1" customWidth="1"/>
    <col min="5" max="5" width="10.54296875" customWidth="1"/>
    <col min="6" max="6" width="14.453125" bestFit="1" customWidth="1"/>
    <col min="7" max="7" width="20.26953125" bestFit="1" customWidth="1"/>
    <col min="8" max="8" width="16.1796875" bestFit="1" customWidth="1"/>
    <col min="9" max="9" width="17.7265625" bestFit="1" customWidth="1"/>
    <col min="10" max="10" width="16.453125" bestFit="1" customWidth="1"/>
    <col min="11" max="11" width="21.36328125" customWidth="1"/>
    <col min="12" max="12" width="19.36328125" bestFit="1" customWidth="1"/>
    <col min="13" max="13" width="16.1796875" bestFit="1" customWidth="1"/>
    <col min="14" max="14" width="19.36328125" bestFit="1" customWidth="1"/>
    <col min="15" max="15" width="20.26953125" customWidth="1"/>
    <col min="16" max="17" width="15.1796875" bestFit="1" customWidth="1"/>
  </cols>
  <sheetData>
    <row r="1" spans="1:20" x14ac:dyDescent="0.35">
      <c r="A1" s="17" t="s">
        <v>10</v>
      </c>
      <c r="B1" s="17" t="s">
        <v>7</v>
      </c>
      <c r="C1" s="17" t="s">
        <v>8</v>
      </c>
      <c r="D1" s="17" t="s">
        <v>9</v>
      </c>
      <c r="F1" s="15" t="s">
        <v>31</v>
      </c>
      <c r="G1" s="15" t="s">
        <v>28</v>
      </c>
      <c r="H1" s="16" t="s">
        <v>32</v>
      </c>
      <c r="I1" s="15" t="s">
        <v>33</v>
      </c>
      <c r="J1" s="15" t="s">
        <v>29</v>
      </c>
      <c r="K1" s="16" t="s">
        <v>34</v>
      </c>
      <c r="L1" s="15" t="s">
        <v>35</v>
      </c>
      <c r="M1" s="15" t="s">
        <v>30</v>
      </c>
      <c r="N1" s="16" t="s">
        <v>36</v>
      </c>
    </row>
    <row r="2" spans="1:20" x14ac:dyDescent="0.35">
      <c r="A2" s="18" t="s">
        <v>11</v>
      </c>
      <c r="B2" s="19">
        <v>1000</v>
      </c>
      <c r="C2" s="20">
        <v>1000</v>
      </c>
      <c r="D2" s="19">
        <v>1000</v>
      </c>
      <c r="F2">
        <v>175.43215327653169</v>
      </c>
      <c r="G2" s="3">
        <f>($B$6-LN(Tabela1[[#This Row],[Tempo 1]]))/$B$7</f>
        <v>1.5262688632950692</v>
      </c>
      <c r="H2" s="1">
        <f>IF(Tabela1[[#This Row],[z]]&gt;=0, 1-(((4-PI())*Tabela1[[#This Row],[z]]+SQRT(2*PI())*(PI()-2))/(((4-PI())*SQRT(2*PI())*Tabela1[[#This Row],[z]]^2)+(2*PI()*Tabela1[[#This Row],[z]])+(2*SQRT(2*PI())*(PI()-2))))*EXP(-(Tabela1[[#This Row],[z]]^2)/2), (((4-PI())*ABS(Tabela1[[#This Row],[z]])+SQRT(2*PI())*(PI()-2))/(((4-PI())*SQRT(2*PI())*Tabela1[[#This Row],[z]]^2)+(2*PI()*ABS(Tabela1[[#This Row],[z]]))+(2*SQRT(2*PI())*(PI()-2))))*EXP(-(Tabela1[[#This Row],[z]]^2)/2))</f>
        <v>0.93596273920202389</v>
      </c>
      <c r="I2">
        <v>17.372348547597252</v>
      </c>
      <c r="J2" s="4">
        <f>($C$6-LN(Tabela1[[#This Row],[Tempo 2]]))/$C$7</f>
        <v>1.6877077581662048</v>
      </c>
      <c r="K2" s="1">
        <f>IF(Tabela1[[#This Row],[z2]]&gt;=0, 1-(((4-PI())*Tabela1[[#This Row],[z2]]+SQRT(2*PI())*(PI()-2))/(((4-PI())*SQRT(2*PI())*Tabela1[[#This Row],[z2]]^2)+(2*PI()*Tabela1[[#This Row],[z2]])+(2*SQRT(2*PI())*(PI()-2))))*EXP(-(Tabela1[[#This Row],[z2]]^2)/2), (((4-PI())*ABS(Tabela1[[#This Row],[z2]])+SQRT(2*PI())*(PI()-2))/(((4-PI())*SQRT(2*PI())*Tabela1[[#This Row],[z2]]^2)+(2*PI()*ABS(Tabela1[[#This Row],[z2]]))+(2*SQRT(2*PI())*(PI()-2))))*EXP(-(Tabela1[[#This Row],[z2]]^2)/2))</f>
        <v>0.95379820107945179</v>
      </c>
      <c r="L2">
        <v>232.1389226831073</v>
      </c>
      <c r="M2" s="2">
        <f>($D$6-LN(Tabela1[[#This Row],[Tempo 3]]))/$D$7</f>
        <v>1.6689153656551854</v>
      </c>
      <c r="N2" s="1">
        <f>IF(Tabela1[[#This Row],[z3]]&gt;=0, 1-(((4-PI())*Tabela1[[#This Row],[z3]]+SQRT(2*PI())*(PI()-2))/(((4-PI())*SQRT(2*PI())*Tabela1[[#This Row],[z3]]^2)+(2*PI()*Tabela1[[#This Row],[z3]])+(2*SQRT(2*PI())*(PI()-2))))*EXP(-(Tabela1[[#This Row],[z3]]^2)/2), (((4-PI())*ABS(Tabela1[[#This Row],[z3]])+SQRT(2*PI())*(PI()-2))/(((4-PI())*SQRT(2*PI())*Tabela1[[#This Row],[z3]]^2)+(2*PI()*ABS(Tabela1[[#This Row],[z3]]))+(2*SQRT(2*PI())*(PI()-2))))*EXP(-(Tabela1[[#This Row],[z3]]^2)/2))</f>
        <v>0.95195321594491045</v>
      </c>
    </row>
    <row r="3" spans="1:20" x14ac:dyDescent="0.35">
      <c r="A3" s="18" t="s">
        <v>12</v>
      </c>
      <c r="B3" s="19">
        <v>2500</v>
      </c>
      <c r="C3" s="20">
        <v>2500</v>
      </c>
      <c r="D3" s="19">
        <v>2500</v>
      </c>
      <c r="F3">
        <v>285.77739130503522</v>
      </c>
      <c r="G3" s="3">
        <f>($B$6-LN(Tabela1[[#This Row],[Tempo 1]]))/$B$7</f>
        <v>0.52272647012011686</v>
      </c>
      <c r="H3" s="1">
        <f>IF(Tabela1[[#This Row],[z]]&gt;=0, 1-(((4-PI())*Tabela1[[#This Row],[z]]+SQRT(2*PI())*(PI()-2))/(((4-PI())*SQRT(2*PI())*Tabela1[[#This Row],[z]]^2)+(2*PI()*Tabela1[[#This Row],[z]])+(2*SQRT(2*PI())*(PI()-2))))*EXP(-(Tabela1[[#This Row],[z]]^2)/2), (((4-PI())*ABS(Tabela1[[#This Row],[z]])+SQRT(2*PI())*(PI()-2))/(((4-PI())*SQRT(2*PI())*Tabela1[[#This Row],[z]]^2)+(2*PI()*ABS(Tabela1[[#This Row],[z]]))+(2*SQRT(2*PI())*(PI()-2))))*EXP(-(Tabela1[[#This Row],[z]]^2)/2))</f>
        <v>0.69907095761360893</v>
      </c>
      <c r="I3">
        <v>21.46993289651817</v>
      </c>
      <c r="J3" s="5">
        <f>($C$6-LN(Tabela1[[#This Row],[Tempo 2]]))/$C$7</f>
        <v>0.55430313924376373</v>
      </c>
      <c r="K3" s="1">
        <f>IF(Tabela1[[#This Row],[z2]]&gt;=0, 1-(((4-PI())*Tabela1[[#This Row],[z2]]+SQRT(2*PI())*(PI()-2))/(((4-PI())*SQRT(2*PI())*Tabela1[[#This Row],[z2]]^2)+(2*PI()*Tabela1[[#This Row],[z2]])+(2*SQRT(2*PI())*(PI()-2))))*EXP(-(Tabela1[[#This Row],[z2]]^2)/2), (((4-PI())*ABS(Tabela1[[#This Row],[z2]])+SQRT(2*PI())*(PI()-2))/(((4-PI())*SQRT(2*PI())*Tabela1[[#This Row],[z2]]^2)+(2*PI()*ABS(Tabela1[[#This Row],[z2]]))+(2*SQRT(2*PI())*(PI()-2))))*EXP(-(Tabela1[[#This Row],[z2]]^2)/2))</f>
        <v>0.70993207327991636</v>
      </c>
      <c r="L3">
        <v>247.74313886696089</v>
      </c>
      <c r="M3" s="3">
        <f>($D$6-LN(Tabela1[[#This Row],[Tempo 3]]))/$D$7</f>
        <v>0.57497422776188722</v>
      </c>
      <c r="N3" s="1">
        <f>IF(Tabela1[[#This Row],[z3]]&gt;=0, 1-(((4-PI())*Tabela1[[#This Row],[z3]]+SQRT(2*PI())*(PI()-2))/(((4-PI())*SQRT(2*PI())*Tabela1[[#This Row],[z3]]^2)+(2*PI()*Tabela1[[#This Row],[z3]])+(2*SQRT(2*PI())*(PI()-2))))*EXP(-(Tabela1[[#This Row],[z3]]^2)/2), (((4-PI())*ABS(Tabela1[[#This Row],[z3]])+SQRT(2*PI())*(PI()-2))/(((4-PI())*SQRT(2*PI())*Tabela1[[#This Row],[z3]]^2)+(2*PI()*ABS(Tabela1[[#This Row],[z3]]))+(2*SQRT(2*PI())*(PI()-2))))*EXP(-(Tabela1[[#This Row],[z3]]^2)/2))</f>
        <v>0.71694048923083087</v>
      </c>
    </row>
    <row r="4" spans="1:20" x14ac:dyDescent="0.35">
      <c r="A4" s="18" t="s">
        <v>13</v>
      </c>
      <c r="B4" s="19">
        <v>10000</v>
      </c>
      <c r="C4" s="20">
        <v>10000</v>
      </c>
      <c r="D4" s="19">
        <v>10000</v>
      </c>
      <c r="F4">
        <v>412.85205008506739</v>
      </c>
      <c r="G4" s="3">
        <f>($B$6-LN(Tabela1[[#This Row],[Tempo 1]]))/$B$7</f>
        <v>-0.23384930206164828</v>
      </c>
      <c r="H4" s="1">
        <f>IF(Tabela1[[#This Row],[z]]&gt;=0, 1-(((4-PI())*Tabela1[[#This Row],[z]]+SQRT(2*PI())*(PI()-2))/(((4-PI())*SQRT(2*PI())*Tabela1[[#This Row],[z]]^2)+(2*PI()*Tabela1[[#This Row],[z]])+(2*SQRT(2*PI())*(PI()-2))))*EXP(-(Tabela1[[#This Row],[z]]^2)/2), (((4-PI())*ABS(Tabela1[[#This Row],[z]])+SQRT(2*PI())*(PI()-2))/(((4-PI())*SQRT(2*PI())*Tabela1[[#This Row],[z]]^2)+(2*PI()*ABS(Tabela1[[#This Row],[z]]))+(2*SQRT(2*PI())*(PI()-2))))*EXP(-(Tabela1[[#This Row],[z]]^2)/2))</f>
        <v>0.40761364703050534</v>
      </c>
      <c r="I4">
        <v>25.786492870700719</v>
      </c>
      <c r="J4" s="5">
        <f>($C$6-LN(Tabela1[[#This Row],[Tempo 2]]))/$C$7</f>
        <v>-0.42616185262720124</v>
      </c>
      <c r="K4" s="1">
        <f>IF(Tabela1[[#This Row],[z2]]&gt;=0, 1-(((4-PI())*Tabela1[[#This Row],[z2]]+SQRT(2*PI())*(PI()-2))/(((4-PI())*SQRT(2*PI())*Tabela1[[#This Row],[z2]]^2)+(2*PI()*Tabela1[[#This Row],[z2]])+(2*SQRT(2*PI())*(PI()-2))))*EXP(-(Tabela1[[#This Row],[z2]]^2)/2), (((4-PI())*ABS(Tabela1[[#This Row],[z2]])+SQRT(2*PI())*(PI()-2))/(((4-PI())*SQRT(2*PI())*Tabela1[[#This Row],[z2]]^2)+(2*PI()*ABS(Tabela1[[#This Row],[z2]]))+(2*SQRT(2*PI())*(PI()-2))))*EXP(-(Tabela1[[#This Row],[z2]]^2)/2))</f>
        <v>0.33523328967446181</v>
      </c>
      <c r="L4">
        <v>262.22705122967852</v>
      </c>
      <c r="M4" s="3">
        <f>($D$6-LN(Tabela1[[#This Row],[Tempo 3]]))/$D$7</f>
        <v>-0.38043908479062483</v>
      </c>
      <c r="N4" s="1">
        <f>IF(Tabela1[[#This Row],[z3]]&gt;=0, 1-(((4-PI())*Tabela1[[#This Row],[z3]]+SQRT(2*PI())*(PI()-2))/(((4-PI())*SQRT(2*PI())*Tabela1[[#This Row],[z3]]^2)+(2*PI()*Tabela1[[#This Row],[z3]])+(2*SQRT(2*PI())*(PI()-2))))*EXP(-(Tabela1[[#This Row],[z3]]^2)/2), (((4-PI())*ABS(Tabela1[[#This Row],[z3]])+SQRT(2*PI())*(PI()-2))/(((4-PI())*SQRT(2*PI())*Tabela1[[#This Row],[z3]]^2)+(2*PI()*ABS(Tabela1[[#This Row],[z3]]))+(2*SQRT(2*PI())*(PI()-2))))*EXP(-(Tabela1[[#This Row],[z3]]^2)/2))</f>
        <v>0.35199930734765839</v>
      </c>
    </row>
    <row r="5" spans="1:20" x14ac:dyDescent="0.35">
      <c r="A5" s="18" t="s">
        <v>14</v>
      </c>
      <c r="B5" s="19">
        <f>10*365*24</f>
        <v>87600</v>
      </c>
      <c r="C5" s="20">
        <f t="shared" ref="C5:D5" si="0">10*365*24</f>
        <v>87600</v>
      </c>
      <c r="D5" s="19">
        <f t="shared" si="0"/>
        <v>87600</v>
      </c>
      <c r="F5">
        <v>430.09479197707958</v>
      </c>
      <c r="G5" s="3">
        <f>($B$6-LN(Tabela1[[#This Row],[Tempo 1]]))/$B$7</f>
        <v>-0.31799802437883234</v>
      </c>
      <c r="H5" s="1">
        <f>IF(Tabela1[[#This Row],[z]]&gt;=0, 1-(((4-PI())*Tabela1[[#This Row],[z]]+SQRT(2*PI())*(PI()-2))/(((4-PI())*SQRT(2*PI())*Tabela1[[#This Row],[z]]^2)+(2*PI()*Tabela1[[#This Row],[z]])+(2*SQRT(2*PI())*(PI()-2))))*EXP(-(Tabela1[[#This Row],[z]]^2)/2), (((4-PI())*ABS(Tabela1[[#This Row],[z]])+SQRT(2*PI())*(PI()-2))/(((4-PI())*SQRT(2*PI())*Tabela1[[#This Row],[z]]^2)+(2*PI()*ABS(Tabela1[[#This Row],[z]]))+(2*SQRT(2*PI())*(PI()-2))))*EXP(-(Tabela1[[#This Row],[z]]^2)/2))</f>
        <v>0.37537198257960375</v>
      </c>
      <c r="I5">
        <v>27.775817453532412</v>
      </c>
      <c r="J5" s="5">
        <f>($C$6-LN(Tabela1[[#This Row],[Tempo 2]]))/$C$7</f>
        <v>-0.82389252998304463</v>
      </c>
      <c r="K5" s="1">
        <f>IF(Tabela1[[#This Row],[z2]]&gt;=0, 1-(((4-PI())*Tabela1[[#This Row],[z2]]+SQRT(2*PI())*(PI()-2))/(((4-PI())*SQRT(2*PI())*Tabela1[[#This Row],[z2]]^2)+(2*PI()*Tabela1[[#This Row],[z2]])+(2*SQRT(2*PI())*(PI()-2))))*EXP(-(Tabela1[[#This Row],[z2]]^2)/2), (((4-PI())*ABS(Tabela1[[#This Row],[z2]])+SQRT(2*PI())*(PI()-2))/(((4-PI())*SQRT(2*PI())*Tabela1[[#This Row],[z2]]^2)+(2*PI()*ABS(Tabela1[[#This Row],[z2]]))+(2*SQRT(2*PI())*(PI()-2))))*EXP(-(Tabela1[[#This Row],[z2]]^2)/2))</f>
        <v>0.20563185659722111</v>
      </c>
      <c r="L5">
        <v>270.32599726738562</v>
      </c>
      <c r="M5" s="3">
        <f>($D$6-LN(Tabela1[[#This Row],[Tempo 3]]))/$D$7</f>
        <v>-0.89192359984407543</v>
      </c>
      <c r="N5" s="1">
        <f>IF(Tabela1[[#This Row],[z3]]&gt;=0, 1-(((4-PI())*Tabela1[[#This Row],[z3]]+SQRT(2*PI())*(PI()-2))/(((4-PI())*SQRT(2*PI())*Tabela1[[#This Row],[z3]]^2)+(2*PI()*Tabela1[[#This Row],[z3]])+(2*SQRT(2*PI())*(PI()-2))))*EXP(-(Tabela1[[#This Row],[z3]]^2)/2), (((4-PI())*ABS(Tabela1[[#This Row],[z3]])+SQRT(2*PI())*(PI()-2))/(((4-PI())*SQRT(2*PI())*Tabela1[[#This Row],[z3]]^2)+(2*PI()*ABS(Tabela1[[#This Row],[z3]]))+(2*SQRT(2*PI())*(PI()-2))))*EXP(-(Tabela1[[#This Row],[z3]]^2)/2))</f>
        <v>0.18688726985725865</v>
      </c>
    </row>
    <row r="6" spans="1:20" x14ac:dyDescent="0.35">
      <c r="A6" s="18" t="s">
        <v>26</v>
      </c>
      <c r="B6">
        <v>5.9093828021596035</v>
      </c>
      <c r="C6">
        <v>3.1702235877950602</v>
      </c>
      <c r="D6">
        <v>5.5465860925471304</v>
      </c>
      <c r="F6">
        <v>763.07288471568143</v>
      </c>
      <c r="G6" s="3">
        <f>($B$6-LN(Tabela1[[#This Row],[Tempo 1]]))/$B$7</f>
        <v>-1.4971480069746963</v>
      </c>
      <c r="H6" s="1">
        <f>IF(Tabela1[[#This Row],[z]]&gt;=0, 1-(((4-PI())*Tabela1[[#This Row],[z]]+SQRT(2*PI())*(PI()-2))/(((4-PI())*SQRT(2*PI())*Tabela1[[#This Row],[z]]^2)+(2*PI()*Tabela1[[#This Row],[z]])+(2*SQRT(2*PI())*(PI()-2))))*EXP(-(Tabela1[[#This Row],[z]]^2)/2), (((4-PI())*ABS(Tabela1[[#This Row],[z]])+SQRT(2*PI())*(PI()-2))/(((4-PI())*SQRT(2*PI())*Tabela1[[#This Row],[z]]^2)+(2*PI()*ABS(Tabela1[[#This Row],[z]]))+(2*SQRT(2*PI())*(PI()-2))))*EXP(-(Tabela1[[#This Row],[z]]^2)/2))</f>
        <v>6.7759858288034491E-2</v>
      </c>
      <c r="I6">
        <v>28.661881959284148</v>
      </c>
      <c r="J6" s="5">
        <f>($C$6-LN(Tabela1[[#This Row],[Tempo 2]]))/$C$7</f>
        <v>-0.99195651479973457</v>
      </c>
      <c r="K6" s="1">
        <f>IF(Tabela1[[#This Row],[z2]]&gt;=0, 1-(((4-PI())*Tabela1[[#This Row],[z2]]+SQRT(2*PI())*(PI()-2))/(((4-PI())*SQRT(2*PI())*Tabela1[[#This Row],[z2]]^2)+(2*PI()*Tabela1[[#This Row],[z2]])+(2*SQRT(2*PI())*(PI()-2))))*EXP(-(Tabela1[[#This Row],[z2]]^2)/2), (((4-PI())*ABS(Tabela1[[#This Row],[z2]])+SQRT(2*PI())*(PI()-2))/(((4-PI())*SQRT(2*PI())*Tabela1[[#This Row],[z2]]^2)+(2*PI()*ABS(Tabela1[[#This Row],[z2]]))+(2*SQRT(2*PI())*(PI()-2))))*EXP(-(Tabela1[[#This Row],[z2]]^2)/2))</f>
        <v>0.16131580898275966</v>
      </c>
      <c r="L6">
        <v>271.60875291015412</v>
      </c>
      <c r="M6" s="3">
        <f>($D$6-LN(Tabela1[[#This Row],[Tempo 3]]))/$D$7</f>
        <v>-0.97152690878268599</v>
      </c>
      <c r="N6" s="1">
        <f>IF(Tabela1[[#This Row],[z3]]&gt;=0, 1-(((4-PI())*Tabela1[[#This Row],[z3]]+SQRT(2*PI())*(PI()-2))/(((4-PI())*SQRT(2*PI())*Tabela1[[#This Row],[z3]]^2)+(2*PI()*Tabela1[[#This Row],[z3]])+(2*SQRT(2*PI())*(PI()-2))))*EXP(-(Tabela1[[#This Row],[z3]]^2)/2), (((4-PI())*ABS(Tabela1[[#This Row],[z3]])+SQRT(2*PI())*(PI()-2))/(((4-PI())*SQRT(2*PI())*Tabela1[[#This Row],[z3]]^2)+(2*PI()*ABS(Tabela1[[#This Row],[z3]]))+(2*SQRT(2*PI())*(PI()-2))))*EXP(-(Tabela1[[#This Row],[z3]]^2)/2))</f>
        <v>0.16634406082147868</v>
      </c>
    </row>
    <row r="7" spans="1:20" x14ac:dyDescent="0.35">
      <c r="A7" s="18" t="s">
        <v>27</v>
      </c>
      <c r="B7" s="8">
        <v>0.48623833117710302</v>
      </c>
      <c r="C7" s="24">
        <v>0.18684740177338899</v>
      </c>
      <c r="D7" s="24">
        <v>5.9469819420871553E-2</v>
      </c>
    </row>
    <row r="8" spans="1:20" x14ac:dyDescent="0.35">
      <c r="A8" s="18"/>
      <c r="B8" s="19"/>
      <c r="C8" s="20"/>
      <c r="D8" s="19"/>
      <c r="F8" s="15" t="s">
        <v>37</v>
      </c>
      <c r="G8" s="15" t="s">
        <v>28</v>
      </c>
      <c r="H8" s="15" t="s">
        <v>32</v>
      </c>
      <c r="I8" s="16" t="s">
        <v>38</v>
      </c>
      <c r="J8" s="15" t="s">
        <v>39</v>
      </c>
      <c r="K8" s="15" t="s">
        <v>29</v>
      </c>
      <c r="L8" s="15" t="s">
        <v>34</v>
      </c>
      <c r="M8" s="16" t="s">
        <v>40</v>
      </c>
      <c r="N8" s="15" t="s">
        <v>41</v>
      </c>
      <c r="O8" s="15" t="s">
        <v>30</v>
      </c>
      <c r="P8" s="15" t="s">
        <v>36</v>
      </c>
      <c r="Q8" s="16" t="s">
        <v>42</v>
      </c>
    </row>
    <row r="9" spans="1:20" x14ac:dyDescent="0.35">
      <c r="A9" s="18" t="s">
        <v>4</v>
      </c>
      <c r="B9" s="19">
        <v>3</v>
      </c>
      <c r="C9" s="20">
        <v>0.5</v>
      </c>
      <c r="D9" s="19">
        <v>2</v>
      </c>
      <c r="F9" s="6">
        <f>C15</f>
        <v>63.607054503366015</v>
      </c>
      <c r="G9" s="6">
        <f>($B$6-LN(Tabela2[[#This Row],[Intervalo 1]]))/$B$7</f>
        <v>3.6127518244969581</v>
      </c>
      <c r="H9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0.99984542234057849</v>
      </c>
      <c r="I9" s="10">
        <f>($B$5/F9)*($B$2*H9)+($B$5/MEDIAN(F$2:F$6)*($B$3+$B$4)*(1-H9))</f>
        <v>1377402.82937566</v>
      </c>
      <c r="J9" s="6">
        <f>D15</f>
        <v>3.7251222685425449</v>
      </c>
      <c r="K9" s="6">
        <f>($C$6-LN(Tabela2[[#This Row],[Intervalo 2]]))/$C$7</f>
        <v>9.9285507592036719</v>
      </c>
      <c r="L9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1</v>
      </c>
      <c r="M9" s="10">
        <f>($B$5/J9)*($B$2*L9)+($B$5/MEDIAN(I$2:I$6)*($B$3+$B$4)*(1-L9))</f>
        <v>23516006.639501132</v>
      </c>
      <c r="N9" s="6">
        <f>E15</f>
        <v>39.509041937147288</v>
      </c>
      <c r="O9" s="6">
        <f>($D$6-LN(Tabela2[[#This Row],[Intervalo 3]]))/$D$7</f>
        <v>31.445471925855426</v>
      </c>
      <c r="P9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1</v>
      </c>
      <c r="Q9" s="10">
        <f>($B$5/N9)*($B$2*P9)+($B$5/MEDIAN(L$2:L$6))*(($B$3+$B$4)*(1-P9))</f>
        <v>2217213.9769766605</v>
      </c>
    </row>
    <row r="10" spans="1:20" x14ac:dyDescent="0.35">
      <c r="A10" s="18" t="s">
        <v>5</v>
      </c>
      <c r="B10" s="19">
        <v>5</v>
      </c>
      <c r="C10" s="20">
        <v>2</v>
      </c>
      <c r="D10" s="19">
        <v>4</v>
      </c>
      <c r="F10" s="6">
        <f t="shared" ref="F10:F21" si="1">C16</f>
        <v>127.21410900673203</v>
      </c>
      <c r="G10" s="6">
        <f>($B$6-LN(Tabela2[[#This Row],[Intervalo 1]]))/$B$7</f>
        <v>2.187222128222396</v>
      </c>
      <c r="H10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0.9854370595485632</v>
      </c>
      <c r="I10" s="10">
        <f>($B$5/F10)*($B$2*H10)+($B$5/MEDIAN(F$2:F$6)*($B$3+$B$4)*(1-H10))</f>
        <v>717199.8056920541</v>
      </c>
      <c r="J10" s="6">
        <f t="shared" ref="J10:J21" si="2">D16</f>
        <v>7.4502445370850898</v>
      </c>
      <c r="K10" s="6">
        <f>($C$6-LN(Tabela2[[#This Row],[Intervalo 2]]))/$C$7</f>
        <v>6.2188541084543969</v>
      </c>
      <c r="L10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0.99999999974380605</v>
      </c>
      <c r="M10" s="10">
        <f>($B$5/J10)*($B$2*L10)+($B$5/MEDIAN(I$2:I$6)*($B$3+$B$4)*(1-L10))</f>
        <v>11758003.32761728</v>
      </c>
      <c r="N10" s="6">
        <f t="shared" ref="N10:N21" si="3">E16</f>
        <v>79.018083874294575</v>
      </c>
      <c r="O10" s="6">
        <f>($D$6-LN(Tabela2[[#This Row],[Intervalo 3]]))/$D$7</f>
        <v>19.790027411142841</v>
      </c>
      <c r="P10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1</v>
      </c>
      <c r="Q10" s="10">
        <f>($B$5/N10)*($B$2*P10)+($B$5/MEDIAN(L$2:L$6))*(($B$3+$B$4)*(1-P10))</f>
        <v>1108606.9884883303</v>
      </c>
      <c r="R10" s="1"/>
      <c r="S10" s="1"/>
      <c r="T10" s="1"/>
    </row>
    <row r="11" spans="1:20" x14ac:dyDescent="0.35">
      <c r="A11" s="18" t="s">
        <v>6</v>
      </c>
      <c r="B11" s="19">
        <f>AVERAGE(Tabela1[Tempo 1])</f>
        <v>413.44585427187906</v>
      </c>
      <c r="C11" s="21">
        <f>AVERAGE(Tabela1[Tempo 2])</f>
        <v>24.213294745526539</v>
      </c>
      <c r="D11" s="19">
        <f>AVERAGE(Tabela1[Tempo 3])</f>
        <v>256.80877259145734</v>
      </c>
      <c r="F11" s="6">
        <f t="shared" si="1"/>
        <v>190.82116351009805</v>
      </c>
      <c r="G11" s="6">
        <f>($B$6-LN(Tabela2[[#This Row],[Intervalo 1]]))/$B$7</f>
        <v>1.353340712237358</v>
      </c>
      <c r="H11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0.9113709164267364</v>
      </c>
      <c r="I11" s="10">
        <f>($B$5/F11)*($B$2*H11)+($B$5/MEDIAN(F$2:F$6)*($B$3+$B$4)*(1-H11))</f>
        <v>653451.05967196426</v>
      </c>
      <c r="J11" s="6">
        <f t="shared" si="2"/>
        <v>11.175366805627634</v>
      </c>
      <c r="K11" s="6">
        <f>($C$6-LN(Tabela2[[#This Row],[Intervalo 2]]))/$C$7</f>
        <v>4.0488206787152041</v>
      </c>
      <c r="L11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0.99997370905325833</v>
      </c>
      <c r="M11" s="10">
        <f>($B$5/J11)*($B$2*L11)+($B$5/MEDIAN(I$2:I$6)*($B$3+$B$4)*(1-L11))</f>
        <v>7839579.214983142</v>
      </c>
      <c r="N11" s="6">
        <f t="shared" si="3"/>
        <v>118.52712581144186</v>
      </c>
      <c r="O11" s="6">
        <f>($D$6-LN(Tabela2[[#This Row],[Intervalo 3]]))/$D$7</f>
        <v>12.972029440799879</v>
      </c>
      <c r="P11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1</v>
      </c>
      <c r="Q11" s="10">
        <f>($B$5/N11)*($B$2*P11)+($B$5/MEDIAN(L$2:L$6))*(($B$3+$B$4)*(1-P11))</f>
        <v>739071.32565888681</v>
      </c>
      <c r="R11" s="1"/>
      <c r="S11" s="1"/>
      <c r="T11" s="1"/>
    </row>
    <row r="12" spans="1:20" x14ac:dyDescent="0.35">
      <c r="F12" s="6">
        <f t="shared" si="1"/>
        <v>254.42821801346406</v>
      </c>
      <c r="G12" s="6">
        <f>($B$6-LN(Tabela2[[#This Row],[Intervalo 1]]))/$B$7</f>
        <v>0.76169243194783454</v>
      </c>
      <c r="H12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0.77629184805224771</v>
      </c>
      <c r="I12" s="10">
        <f>($B$5/F12)*($B$2*H12)+($B$5/MEDIAN(F$2:F$6)*($B$3+$B$4)*(1-H12))</f>
        <v>860615.46708924696</v>
      </c>
      <c r="J12" s="6">
        <f t="shared" si="2"/>
        <v>14.90048907417018</v>
      </c>
      <c r="K12" s="6">
        <f>($C$6-LN(Tabela2[[#This Row],[Intervalo 2]]))/$C$7</f>
        <v>2.509157457705121</v>
      </c>
      <c r="L12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0.99385291943108744</v>
      </c>
      <c r="M12" s="10">
        <f>($B$5/J12)*($B$2*L12)+($B$5/MEDIAN(I$2:I$6)*($B$3+$B$4)*(1-L12))</f>
        <v>6103893.1564775482</v>
      </c>
      <c r="N12" s="6">
        <f t="shared" si="3"/>
        <v>158.03616774858915</v>
      </c>
      <c r="O12" s="6">
        <f>($D$6-LN(Tabela2[[#This Row],[Intervalo 3]]))/$D$7</f>
        <v>8.1345828964302527</v>
      </c>
      <c r="P12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0.99999999999999978</v>
      </c>
      <c r="Q12" s="10">
        <f>($B$5/N12)*($B$2*P12)+($B$5/MEDIAN(L$2:L$6))*(($B$3+$B$4)*(1-P12))</f>
        <v>554303.49424416595</v>
      </c>
      <c r="R12" s="11"/>
      <c r="S12" s="11"/>
      <c r="T12" s="1"/>
    </row>
    <row r="13" spans="1:20" x14ac:dyDescent="0.35">
      <c r="F13" s="6">
        <f t="shared" si="1"/>
        <v>318.03527251683005</v>
      </c>
      <c r="G13" s="6">
        <f>($B$6-LN(Tabela2[[#This Row],[Intervalo 1]]))/$B$7</f>
        <v>0.30277437262080481</v>
      </c>
      <c r="H13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0.61885379844132604</v>
      </c>
      <c r="I13" s="10">
        <f>($B$5/F13)*($B$2*H13)+($B$5/MEDIAN(F$2:F$6)*($B$3+$B$4)*(1-H13))</f>
        <v>1181364.9529357615</v>
      </c>
      <c r="J13" s="6">
        <f t="shared" si="2"/>
        <v>18.625611342712723</v>
      </c>
      <c r="K13" s="6">
        <f>($C$6-LN(Tabela2[[#This Row],[Intervalo 2]]))/$C$7</f>
        <v>1.3149018823193783</v>
      </c>
      <c r="L13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0.90505689145519974</v>
      </c>
      <c r="M13" s="10">
        <f>($B$5/J13)*($B$2*L13)+($B$5/MEDIAN(I$2:I$6)*($B$3+$B$4)*(1-L13))</f>
        <v>8288337.6490419861</v>
      </c>
      <c r="N13" s="6">
        <f t="shared" si="3"/>
        <v>197.54520968573644</v>
      </c>
      <c r="O13" s="6">
        <f>($D$6-LN(Tabela2[[#This Row],[Intervalo 3]]))/$D$7</f>
        <v>4.3823678487434732</v>
      </c>
      <c r="P13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0.9999940006907817</v>
      </c>
      <c r="Q13" s="10">
        <f>($B$5/N13)*($B$2*P13)+($B$5/MEDIAN(L$2:L$6))*(($B$3+$B$4)*(1-P13))</f>
        <v>443465.1867836832</v>
      </c>
      <c r="R13" s="11"/>
      <c r="S13" s="11"/>
      <c r="T13" s="1"/>
    </row>
    <row r="14" spans="1:20" x14ac:dyDescent="0.35">
      <c r="B14" s="41" t="s">
        <v>46</v>
      </c>
      <c r="C14" s="42"/>
      <c r="D14" s="42"/>
      <c r="E14" s="43"/>
      <c r="F14" s="6">
        <f t="shared" si="1"/>
        <v>381.64232702019609</v>
      </c>
      <c r="G14" s="6">
        <f>($B$6-LN(Tabela2[[#This Row],[Intervalo 1]]))/$B$7</f>
        <v>-7.2188984037203599E-2</v>
      </c>
      <c r="H14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0.47122845811270608</v>
      </c>
      <c r="I14" s="10">
        <f>($B$5/F14)*($B$2*H14)+($B$5/MEDIAN(F$2:F$6)*($B$3+$B$4)*(1-H14))</f>
        <v>1510614.2532608339</v>
      </c>
      <c r="J14" s="6">
        <f t="shared" si="2"/>
        <v>22.350733611255269</v>
      </c>
      <c r="K14" s="6">
        <f>($C$6-LN(Tabela2[[#This Row],[Intervalo 2]]))/$C$7</f>
        <v>0.33912402796592866</v>
      </c>
      <c r="L14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0.63259344588077848</v>
      </c>
      <c r="M14" s="10">
        <f>($B$5/J14)*($B$2*L14)+($B$5/MEDIAN(I$2:I$6)*($B$3+$B$4)*(1-L14))</f>
        <v>18080930.914371315</v>
      </c>
      <c r="N14" s="6">
        <f t="shared" si="3"/>
        <v>237.05425162288373</v>
      </c>
      <c r="O14" s="6">
        <f>($D$6-LN(Tabela2[[#This Row],[Intervalo 3]]))/$D$7</f>
        <v>1.3165849260872924</v>
      </c>
      <c r="P14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0.90534009514311242</v>
      </c>
      <c r="Q14" s="10">
        <f>($B$5/N14)*($B$2*P14)+($B$5/MEDIAN(L$2:L$6))*(($B$3+$B$4)*(1-P14))</f>
        <v>729833.49585624051</v>
      </c>
      <c r="R14" s="11"/>
      <c r="S14" s="11"/>
      <c r="T14" s="1"/>
    </row>
    <row r="15" spans="1:20" x14ac:dyDescent="0.35">
      <c r="B15" s="44">
        <v>1</v>
      </c>
      <c r="C15" s="45">
        <f>B$11*(2*($B15/$B$27))</f>
        <v>63.607054503366015</v>
      </c>
      <c r="D15" s="45">
        <f>C$11*(2*($B15/$B$27))</f>
        <v>3.7251222685425449</v>
      </c>
      <c r="E15" s="46">
        <f>D$11*(2*($B15/$B$27))</f>
        <v>39.509041937147288</v>
      </c>
      <c r="F15" s="6">
        <f t="shared" si="1"/>
        <v>445.24938152356202</v>
      </c>
      <c r="G15" s="7">
        <f>($B$6-LN(Tabela2[[#This Row],[Intervalo 1]]))/$B$7</f>
        <v>-0.38921598487871401</v>
      </c>
      <c r="H15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0.34875688137370614</v>
      </c>
      <c r="I15" s="10">
        <f>($B$5/F15)*($B$2*H15)+($B$5/MEDIAN(F$2:F$6)*($B$3+$B$4)*(1-H15))</f>
        <v>1795896.0155964338</v>
      </c>
      <c r="J15" s="6">
        <f t="shared" si="2"/>
        <v>26.07585587979781</v>
      </c>
      <c r="K15" s="7">
        <f>($C$6-LN(Tabela2[[#This Row],[Intervalo 2]]))/$C$7</f>
        <v>-0.4858843926179125</v>
      </c>
      <c r="L15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0.31382960328247134</v>
      </c>
      <c r="M15" s="10">
        <f>($B$5/J15)*($B$2*L15)+($B$5/MEDIAN(I$2:I$6)*($B$3+$B$4)*(1-L15))</f>
        <v>30191891.137870356</v>
      </c>
      <c r="N15" s="6">
        <f t="shared" si="3"/>
        <v>276.56329356003096</v>
      </c>
      <c r="O15" s="7">
        <f>($D$6-LN(Tabela2[[#This Row],[Intervalo 3]]))/$D$7</f>
        <v>-1.2754976012922554</v>
      </c>
      <c r="P15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0.10175260831193877</v>
      </c>
      <c r="Q15" s="10">
        <f>($B$5/N15)*($B$2*P15)+($B$5/MEDIAN(L$2:L$6))*(($B$3+$B$4)*(1-P15))</f>
        <v>3783104.6269368231</v>
      </c>
      <c r="R15" s="11"/>
      <c r="S15" s="11"/>
      <c r="T15" s="1"/>
    </row>
    <row r="16" spans="1:20" x14ac:dyDescent="0.35">
      <c r="B16" s="44">
        <v>2</v>
      </c>
      <c r="C16" s="45">
        <f>B$11*(2*($B16/$B$27))</f>
        <v>127.21410900673203</v>
      </c>
      <c r="D16" s="45">
        <f>C$11*(2*($B16/$B$27))</f>
        <v>7.4502445370850898</v>
      </c>
      <c r="E16" s="46">
        <f>D$11*(2*($B16/$B$27))</f>
        <v>79.018083874294575</v>
      </c>
      <c r="F16" s="6">
        <f t="shared" si="1"/>
        <v>508.85643602692812</v>
      </c>
      <c r="G16" s="6">
        <v>-0.24848267962600121</v>
      </c>
      <c r="H16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0.40195307748594827</v>
      </c>
      <c r="I16" s="10">
        <f>($B$5/F16)*($B$2*H16)+($B$5/MEDIAN(F$2:F$6)*($B$3+$B$4)*(1-H16))</f>
        <v>1655385.5094691541</v>
      </c>
      <c r="J16" s="6">
        <f t="shared" si="2"/>
        <v>29.800978148340359</v>
      </c>
      <c r="K16" s="6">
        <f>($C$6-LN(Tabela2[[#This Row],[Intervalo 2]]))/$C$7</f>
        <v>-1.2005391930441547</v>
      </c>
      <c r="L16" s="40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0.1156717170324124</v>
      </c>
      <c r="M16" s="10">
        <f>($B$5/J16)*($B$2*L16)+($B$5/MEDIAN(I$2:I$6)*($B$3+$B$4)*(1-L16))</f>
        <v>37892214.481662966</v>
      </c>
      <c r="N16" s="6">
        <f t="shared" si="3"/>
        <v>316.0723354971783</v>
      </c>
      <c r="O16" s="6">
        <f>($D$6-LN(Tabela2[[#This Row],[Intervalo 3]]))/$D$7</f>
        <v>-3.5208616182823342</v>
      </c>
      <c r="P16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2.1941097739101487E-4</v>
      </c>
      <c r="Q16" s="10">
        <f>($B$5/N16)*($B$2*P16)+($B$5/MEDIAN(L$2:L$6))*(($B$3+$B$4)*(1-P16))</f>
        <v>4174915.1580987871</v>
      </c>
      <c r="R16" s="1"/>
      <c r="S16" s="1"/>
      <c r="T16" s="1"/>
    </row>
    <row r="17" spans="2:20" x14ac:dyDescent="0.35">
      <c r="B17" s="44">
        <v>3</v>
      </c>
      <c r="C17" s="45">
        <f>B$11*(2*($B17/$B$27))</f>
        <v>190.82116351009805</v>
      </c>
      <c r="D17" s="45">
        <f>C$11*(2*($B17/$B$27))</f>
        <v>11.175366805627634</v>
      </c>
      <c r="E17" s="46">
        <f>D$11*(2*($B17/$B$27))</f>
        <v>118.52712581144186</v>
      </c>
      <c r="F17" s="6">
        <f t="shared" si="1"/>
        <v>572.46349053029405</v>
      </c>
      <c r="G17" s="6">
        <f>($B$6-LN(Tabela2[[#This Row],[Intervalo 1]]))/$B$7</f>
        <v>-0.90607040002223993</v>
      </c>
      <c r="H17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0.18312624528760782</v>
      </c>
      <c r="I17" s="10">
        <f>($B$5/F17)*($B$2*H17)+($B$5/MEDIAN(F$2:F$6)*($B$3+$B$4)*(1-H17))</f>
        <v>2194601.9366093171</v>
      </c>
      <c r="J17" s="6">
        <f t="shared" si="2"/>
        <v>33.526100416882898</v>
      </c>
      <c r="K17" s="6">
        <f>($C$6-LN(Tabela2[[#This Row],[Intervalo 2]]))/$C$7</f>
        <v>-1.8309094017732637</v>
      </c>
      <c r="L17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3.3938228495198806E-2</v>
      </c>
      <c r="M17" s="10">
        <f>($B$5/J17)*($B$2*L17)+($B$5/MEDIAN(I$2:I$6)*($B$3+$B$4)*(1-L17))</f>
        <v>41111612.577542312</v>
      </c>
      <c r="N17" s="6">
        <f t="shared" si="3"/>
        <v>355.58137743432553</v>
      </c>
      <c r="O17" s="6">
        <f>($D$6-LN(Tabela2[[#This Row],[Intervalo 3]]))/$D$7</f>
        <v>-5.5014130442556528</v>
      </c>
      <c r="P17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1.9272062883135012E-8</v>
      </c>
      <c r="Q17" s="10">
        <f>($B$5/N17)*($B$2*P17)+($B$5/MEDIAN(L$2:L$6))*(($B$3+$B$4)*(1-P17))</f>
        <v>4175770.4821346239</v>
      </c>
      <c r="R17" s="1"/>
      <c r="S17" s="1"/>
      <c r="T17" s="1"/>
    </row>
    <row r="18" spans="2:20" x14ac:dyDescent="0.35">
      <c r="B18" s="44">
        <v>4</v>
      </c>
      <c r="C18" s="45">
        <f>B$11*(2*($B18/$B$27))</f>
        <v>254.42821801346406</v>
      </c>
      <c r="D18" s="45">
        <f>C$11*(2*($B18/$B$27))</f>
        <v>14.90048907417018</v>
      </c>
      <c r="E18" s="46">
        <f>D$11*(2*($B18/$B$27))</f>
        <v>158.03616774858915</v>
      </c>
      <c r="F18" s="6">
        <f t="shared" si="1"/>
        <v>636.0705450336601</v>
      </c>
      <c r="G18" s="6">
        <f>($B$6-LN(Tabela2[[#This Row],[Intervalo 1]]))/$B$7</f>
        <v>-1.1227553236537569</v>
      </c>
      <c r="H18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0.13148820158348984</v>
      </c>
      <c r="I18" s="10">
        <f>($B$5/F18)*($B$2*H18)+($B$5/MEDIAN(F$2:F$6)*($B$3+$B$4)*(1-H18))</f>
        <v>2321646.7116637793</v>
      </c>
      <c r="J18" s="6">
        <f t="shared" si="2"/>
        <v>37.251222685425446</v>
      </c>
      <c r="K18" s="6">
        <f>($C$6-LN(Tabela2[[#This Row],[Intervalo 2]]))/$C$7</f>
        <v>-2.3947947684298949</v>
      </c>
      <c r="L18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8.4413711187695233E-3</v>
      </c>
      <c r="M18" s="10">
        <f>($B$5/J18)*($B$2*L18)+($B$5/MEDIAN(I$2:I$6)*($B$3+$B$4)*(1-L18))</f>
        <v>42125487.358077094</v>
      </c>
      <c r="N18" s="6">
        <f t="shared" si="3"/>
        <v>395.09041937147288</v>
      </c>
      <c r="O18" s="6">
        <f>($D$6-LN(Tabela2[[#This Row],[Intervalo 3]]))/$D$7</f>
        <v>-7.2730766659691133</v>
      </c>
      <c r="P18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1.797108813747645E-13</v>
      </c>
      <c r="Q18" s="10">
        <f>($B$5/N18)*($B$2*P18)+($B$5/MEDIAN(L$2:L$6))*(($B$3+$B$4)*(1-P18))</f>
        <v>4175770.5578618157</v>
      </c>
      <c r="R18" s="1"/>
      <c r="S18" s="1"/>
      <c r="T18" s="1"/>
    </row>
    <row r="19" spans="2:20" x14ac:dyDescent="0.35">
      <c r="B19" s="44">
        <v>5</v>
      </c>
      <c r="C19" s="45">
        <f>B$11*(2*($B19/$B$27))</f>
        <v>318.03527251683005</v>
      </c>
      <c r="D19" s="45">
        <f>C$11*(2*($B19/$B$27))</f>
        <v>18.625611342712723</v>
      </c>
      <c r="E19" s="46">
        <f>D$11*(2*($B19/$B$27))</f>
        <v>197.54520968573644</v>
      </c>
      <c r="F19" s="6">
        <f>C25</f>
        <v>699.67759953702614</v>
      </c>
      <c r="G19" s="6">
        <f>($B$6-LN(Tabela2[[#This Row],[Intervalo 1]]))/$B$7</f>
        <v>-1.3187706801016834</v>
      </c>
      <c r="H19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9.4293038551928818E-2</v>
      </c>
      <c r="I19" s="10">
        <f>($B$5/F19)*($B$2*H19)+($B$5/MEDIAN(F$2:F$6)*($B$3+$B$4)*(1-H19))</f>
        <v>2413995.6746294051</v>
      </c>
      <c r="J19" s="6">
        <f t="shared" si="2"/>
        <v>40.976344953967988</v>
      </c>
      <c r="K19" s="6">
        <f>($C$6-LN(Tabela2[[#This Row],[Intervalo 2]]))/$C$7</f>
        <v>-2.9048911299512539</v>
      </c>
      <c r="L19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1.869751611019634E-3</v>
      </c>
      <c r="M19" s="10">
        <f>($B$5/J19)*($B$2*L19)+($B$5/MEDIAN(I$2:I$6)*($B$3+$B$4)*(1-L19))</f>
        <v>42388691.668201789</v>
      </c>
      <c r="N19" s="6">
        <f t="shared" si="3"/>
        <v>434.59946130862011</v>
      </c>
      <c r="O19" s="6">
        <f>($D$6-LN(Tabela2[[#This Row],[Intervalo 3]]))/$D$7</f>
        <v>-8.8757413576139417</v>
      </c>
      <c r="P19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3.5495754250961577E-19</v>
      </c>
      <c r="Q19" s="10">
        <f>($B$5/N19)*($B$2*P19)+($B$5/MEDIAN(L$2:L$6))*(($B$3+$B$4)*(1-P19))</f>
        <v>4175770.5578625263</v>
      </c>
      <c r="R19" s="1"/>
      <c r="S19" s="1"/>
      <c r="T19" s="1"/>
    </row>
    <row r="20" spans="2:20" x14ac:dyDescent="0.35">
      <c r="B20" s="44">
        <v>6</v>
      </c>
      <c r="C20" s="45">
        <f>B$11*(2*($B20/$B$27))</f>
        <v>381.64232702019609</v>
      </c>
      <c r="D20" s="45">
        <f>C$11*(2*($B20/$B$27))</f>
        <v>22.350733611255269</v>
      </c>
      <c r="E20" s="46">
        <f>D$11*(2*($B20/$B$27))</f>
        <v>237.05425162288373</v>
      </c>
      <c r="F20" s="6">
        <f t="shared" si="1"/>
        <v>763.28465404039218</v>
      </c>
      <c r="G20" s="6">
        <f>($B$6-LN(Tabela2[[#This Row],[Intervalo 1]]))/$B$7</f>
        <v>-1.4977186803117652</v>
      </c>
      <c r="H20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6.7685338782235538E-2</v>
      </c>
      <c r="I20" s="10">
        <f>($B$5/F20)*($B$2*H20)+($B$5/MEDIAN(F$2:F$6)*($B$3+$B$4)*(1-H20))</f>
        <v>2480529.3093379056</v>
      </c>
      <c r="J20" s="6">
        <f t="shared" si="2"/>
        <v>44.701467222510537</v>
      </c>
      <c r="K20" s="6">
        <f>($C$6-LN(Tabela2[[#This Row],[Intervalo 2]]))/$C$7</f>
        <v>-3.3705726227833468</v>
      </c>
      <c r="L20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3.8244666765194896E-4</v>
      </c>
      <c r="M20" s="10">
        <f>($B$5/J20)*($B$2*L20)+($B$5/MEDIAN(I$2:I$6)*($B$3+$B$4)*(1-L20))</f>
        <v>42448600.999904826</v>
      </c>
      <c r="N20" s="6">
        <f t="shared" si="3"/>
        <v>474.10850324576745</v>
      </c>
      <c r="O20" s="6">
        <f>($D$6-LN(Tabela2[[#This Row],[Intervalo 3]]))/$D$7</f>
        <v>-10.338859588625294</v>
      </c>
      <c r="P20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2.399500967051768E-25</v>
      </c>
      <c r="Q20" s="10">
        <f>($B$5/N20)*($B$2*P20)+($B$5/MEDIAN(L$2:L$6))*(($B$3+$B$4)*(1-P20))</f>
        <v>4175770.5578625263</v>
      </c>
      <c r="R20" s="1"/>
      <c r="S20" s="1"/>
      <c r="T20" s="1"/>
    </row>
    <row r="21" spans="2:20" x14ac:dyDescent="0.35">
      <c r="B21" s="44">
        <v>7</v>
      </c>
      <c r="C21" s="45">
        <f>B$11*(2*($B21/$B$27))</f>
        <v>445.24938152356202</v>
      </c>
      <c r="D21" s="45">
        <f>C$11*(2*($B21/$B$27))</f>
        <v>26.07585587979781</v>
      </c>
      <c r="E21" s="46">
        <f>D$11*(2*($B21/$B$27))</f>
        <v>276.56329356003096</v>
      </c>
      <c r="F21" s="6">
        <f t="shared" si="1"/>
        <v>826.89170854375811</v>
      </c>
      <c r="G21" s="6">
        <f>($B$6-LN(Tabela2[[#This Row],[Intervalo 1]]))/$B$7</f>
        <v>-1.6623348829870379</v>
      </c>
      <c r="H21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4.8706583306907157E-2</v>
      </c>
      <c r="I21" s="10">
        <f>($B$5/F21)*($B$2*H21)+($B$5/MEDIAN(F$2:F$6)*($B$3+$B$4)*(1-H21))</f>
        <v>2528258.1869932213</v>
      </c>
      <c r="J21" s="6">
        <f t="shared" si="2"/>
        <v>48.426589491053079</v>
      </c>
      <c r="K21" s="6">
        <f>($C$6-LN(Tabela2[[#This Row],[Intervalo 2]]))/$C$7</f>
        <v>-3.7989580694839291</v>
      </c>
      <c r="L21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7.4172848288062252E-5</v>
      </c>
      <c r="M21" s="10">
        <f>($B$5/J21)*($B$2*L21)+($B$5/MEDIAN(I$2:I$6)*($B$3+$B$4)*(1-L21))</f>
        <v>42461076.272481166</v>
      </c>
      <c r="N21" s="6">
        <f t="shared" si="3"/>
        <v>513.61754518291468</v>
      </c>
      <c r="O21" s="6">
        <f>($D$6-LN(Tabela2[[#This Row],[Intervalo 3]]))/$D$7</f>
        <v>-11.684797888976759</v>
      </c>
      <c r="P21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7.77330928419348E-32</v>
      </c>
      <c r="Q21" s="10">
        <f>($B$5/N21)*($B$2*P21)+($B$5/MEDIAN(L$2:L$6))*(($B$3+$B$4)*(1-P21))</f>
        <v>4175770.5578625263</v>
      </c>
      <c r="R21" s="1"/>
      <c r="S21" s="1"/>
      <c r="T21" s="1"/>
    </row>
    <row r="22" spans="2:20" x14ac:dyDescent="0.35">
      <c r="B22" s="44">
        <v>8</v>
      </c>
      <c r="C22" s="45">
        <f>B$11*(2*($B22/$B$27))</f>
        <v>508.85643602692812</v>
      </c>
      <c r="D22" s="45">
        <f>C$11*(2*($B22/$B$27))</f>
        <v>29.800978148340359</v>
      </c>
      <c r="E22" s="46">
        <f>D$11*(2*($B22/$B$27))</f>
        <v>316.0723354971783</v>
      </c>
      <c r="F22" s="34">
        <v>270</v>
      </c>
      <c r="G22" s="34">
        <f>($B$6-LN(Tabela2[[#This Row],[Intervalo 1]]))/$B$7</f>
        <v>0.63952350775892852</v>
      </c>
      <c r="H22">
        <f>IF(Tabela2[[#This Row],[z]]&gt;=0, 1-(((4-PI())*Tabela2[[#This Row],[z]]+SQRT(2*PI())*(PI()-2))/(((4-PI())*SQRT(2*PI())*Tabela2[[#This Row],[z]]^2)+(2*PI()*Tabela2[[#This Row],[z]])+(2*SQRT(2*PI())*(PI()-2))))*EXP(-(Tabela2[[#This Row],[z]]^2)/2), (((4-PI())*ABS(Tabela2[[#This Row],[z]])+SQRT(2*PI())*(PI()-2))/(((4-PI())*SQRT(2*PI())*Tabela2[[#This Row],[z]]^2)+(2*PI()*ABS(Tabela2[[#This Row],[z]]))+(2*SQRT(2*PI())*(PI()-2))))*EXP(-(Tabela2[[#This Row],[z]]^2)/2))</f>
        <v>0.7382847776878948</v>
      </c>
      <c r="I22" s="10">
        <f>($B$5/F22)*($B$2*H22)+($B$5/MEDIAN(F$2:F$6)*($B$3+$B$4)*(1-H22))</f>
        <v>933674.92906825489</v>
      </c>
      <c r="J22" s="34">
        <v>1910</v>
      </c>
      <c r="K22" s="34">
        <f>($C$6-LN(Tabela2[[#This Row],[Intervalo 2]]))/$C$7</f>
        <v>-23.466394992012571</v>
      </c>
      <c r="L22">
        <f>IF(Tabela2[[#This Row],[z2]]&gt;=0, 1-(((4-PI())*Tabela2[[#This Row],[z2]]+SQRT(2*PI())*(PI()-2))/(((4-PI())*SQRT(2*PI())*Tabela2[[#This Row],[z2]]^2)+(2*PI()*Tabela2[[#This Row],[z2]])+(2*SQRT(2*PI())*(PI()-2))))*EXP(-(Tabela2[[#This Row],[z2]]^2)/2), (((4-PI())*ABS(Tabela2[[#This Row],[z2]])+SQRT(2*PI())*(PI()-2))/(((4-PI())*SQRT(2*PI())*Tabela2[[#This Row],[z2]]^2)+(2*PI()*ABS(Tabela2[[#This Row],[z2]]))+(2*SQRT(2*PI())*(PI()-2))))*EXP(-(Tabela2[[#This Row],[z2]]^2)/2))</f>
        <v>4.5552850718729587E-122</v>
      </c>
      <c r="M22" s="10">
        <f>($B$5/J22)*($B$2*L22)+($B$5/MEDIAN(I$2:I$6)*($B$3+$B$4)*(1-L22))</f>
        <v>42464091.782103777</v>
      </c>
      <c r="N22" s="34">
        <v>9650</v>
      </c>
      <c r="O22" s="34">
        <f>($D$6-LN(Tabela2[[#This Row],[Intervalo 3]]))/$D$7</f>
        <v>-61.007871507216528</v>
      </c>
      <c r="P22" s="8">
        <f>IF(Tabela2[[#This Row],[z3]]&gt;=0, 1-(((4-PI())*Tabela2[[#This Row],[z3]]+SQRT(2*PI())*(PI()-2))/(((4-PI())*SQRT(2*PI())*Tabela2[[#This Row],[z3]]^2)+(2*PI()*Tabela2[[#This Row],[z3]])+(2*SQRT(2*PI())*(PI()-2))))*EXP(-(Tabela2[[#This Row],[z3]]^2)/2), (((4-PI())*ABS(Tabela2[[#This Row],[z3]])+SQRT(2*PI())*(PI()-2))/(((4-PI())*SQRT(2*PI())*Tabela2[[#This Row],[z3]]^2)+(2*PI()*ABS(Tabela2[[#This Row],[z3]]))+(2*SQRT(2*PI())*(PI()-2))))*EXP(-(Tabela2[[#This Row],[z3]]^2)/2))</f>
        <v>0</v>
      </c>
      <c r="Q22" s="10">
        <f>($B$5/N22)*($B$2*P22)+($B$5/MEDIAN(L$2:L$6))*(($B$3+$B$4)*(1-P22))</f>
        <v>4175770.5578625263</v>
      </c>
      <c r="R22" s="1"/>
      <c r="S22" s="1"/>
      <c r="T22" s="1"/>
    </row>
    <row r="23" spans="2:20" x14ac:dyDescent="0.35">
      <c r="B23" s="44">
        <v>9</v>
      </c>
      <c r="C23" s="45">
        <f>B$11*(2*($B23/$B$27))</f>
        <v>572.46349053029405</v>
      </c>
      <c r="D23" s="45">
        <f>C$11*(2*($B23/$B$27))</f>
        <v>33.526100416882898</v>
      </c>
      <c r="E23" s="46">
        <f>D$11*(2*($B23/$B$27))</f>
        <v>355.58137743432553</v>
      </c>
      <c r="F23" s="15" t="s">
        <v>37</v>
      </c>
      <c r="G23" s="15" t="s">
        <v>43</v>
      </c>
      <c r="H23" s="15" t="s">
        <v>39</v>
      </c>
      <c r="I23" s="15" t="s">
        <v>44</v>
      </c>
      <c r="J23" s="15" t="s">
        <v>41</v>
      </c>
      <c r="K23" s="15" t="s">
        <v>45</v>
      </c>
      <c r="L23" s="1"/>
      <c r="M23" s="1"/>
      <c r="O23" s="1"/>
      <c r="P23" s="1"/>
      <c r="Q23" s="1"/>
    </row>
    <row r="24" spans="2:20" x14ac:dyDescent="0.35">
      <c r="B24" s="44">
        <v>10</v>
      </c>
      <c r="C24" s="45">
        <f>B$11*(2*($B24/$B$27))</f>
        <v>636.0705450336601</v>
      </c>
      <c r="D24" s="45">
        <f>C$11*(2*($B24/$B$27))</f>
        <v>37.251222685425446</v>
      </c>
      <c r="E24" s="46">
        <f>D$11*(2*($B24/$B$27))</f>
        <v>395.09041937147288</v>
      </c>
      <c r="F24" s="6">
        <f>C15</f>
        <v>63.607054503366015</v>
      </c>
      <c r="G24" s="9">
        <f>F9/(((H9*B$9)+(1-H9)*B$10)+F9)</f>
        <v>0.95495529337126617</v>
      </c>
      <c r="H24" s="6">
        <f>D15</f>
        <v>3.7251222685425449</v>
      </c>
      <c r="I24" s="9">
        <f>J9/(((L9*C$9)+(1-L9)*C$10)+J9)</f>
        <v>0.88166022940385214</v>
      </c>
      <c r="J24" s="6">
        <f>E15</f>
        <v>39.509041937147288</v>
      </c>
      <c r="K24" s="9">
        <f>N9/(((P9*D$9)+(1-P9)*D$10)+N9)</f>
        <v>0.95181772677315979</v>
      </c>
      <c r="L24" s="1"/>
      <c r="M24" s="1"/>
      <c r="N24" s="1"/>
      <c r="O24" s="1"/>
      <c r="P24" s="1"/>
      <c r="Q24" s="1"/>
    </row>
    <row r="25" spans="2:20" x14ac:dyDescent="0.35">
      <c r="B25" s="44">
        <v>11</v>
      </c>
      <c r="C25" s="45">
        <f>B$11*(2*($B25/$B$27))</f>
        <v>699.67759953702614</v>
      </c>
      <c r="D25" s="45">
        <f>C$11*(2*($B25/$B$27))</f>
        <v>40.976344953967988</v>
      </c>
      <c r="E25" s="46">
        <f>D$11*(2*($B25/$B$27))</f>
        <v>434.59946130862011</v>
      </c>
      <c r="F25" s="6">
        <f t="shared" ref="F25:F36" si="4">C16</f>
        <v>127.21410900673203</v>
      </c>
      <c r="G25" s="9">
        <f>F10/(((H10*B$9)+(1-H10)*B$10)+F10)</f>
        <v>0.97674254725386533</v>
      </c>
      <c r="H25" s="6">
        <f t="shared" ref="H25:H36" si="5">D16</f>
        <v>7.4502445370850898</v>
      </c>
      <c r="I25" s="9">
        <f>J10/(((L10*C$9)+(1-L10)*C$10)+J10)</f>
        <v>0.93710885268650557</v>
      </c>
      <c r="J25" s="6">
        <f t="shared" ref="J25:J36" si="6">E16</f>
        <v>79.018083874294575</v>
      </c>
      <c r="K25" s="9">
        <f>N10/(((P10*D$9)+(1-P10)*D$10)+N10)</f>
        <v>0.97531415328085092</v>
      </c>
    </row>
    <row r="26" spans="2:20" x14ac:dyDescent="0.35">
      <c r="B26" s="44">
        <v>12</v>
      </c>
      <c r="C26" s="45">
        <f>B$11*(2*($B26/$B$27))</f>
        <v>763.28465404039218</v>
      </c>
      <c r="D26" s="45">
        <f>C$11*(2*($B26/$B$27))</f>
        <v>44.701467222510537</v>
      </c>
      <c r="E26" s="46">
        <f>D$11*(2*($B26/$B$27))</f>
        <v>474.10850324576745</v>
      </c>
      <c r="F26" s="6">
        <f t="shared" si="4"/>
        <v>190.82116351009805</v>
      </c>
      <c r="G26" s="9">
        <f>F11/(((H11*B$9)+(1-H11)*B$10)+F11)</f>
        <v>0.98362224733749359</v>
      </c>
      <c r="H26" s="6">
        <f t="shared" si="5"/>
        <v>11.175366805627634</v>
      </c>
      <c r="I26" s="9">
        <f>J11/(((L11*C$9)+(1-L11)*C$10)+J11)</f>
        <v>0.95717155993945013</v>
      </c>
      <c r="J26" s="6">
        <f t="shared" si="6"/>
        <v>118.52712581144186</v>
      </c>
      <c r="K26" s="9">
        <f>N11/(((P11*D$9)+(1-P11)*D$10)+N11)</f>
        <v>0.98340622505900543</v>
      </c>
    </row>
    <row r="27" spans="2:20" x14ac:dyDescent="0.35">
      <c r="B27" s="47">
        <v>13</v>
      </c>
      <c r="C27" s="48">
        <f>B$11*(2*($B27/$B$27))</f>
        <v>826.89170854375811</v>
      </c>
      <c r="D27" s="48">
        <f>C$11*(2*($B27/$B$27))</f>
        <v>48.426589491053079</v>
      </c>
      <c r="E27" s="49">
        <f>D$11*(2*($B27/$B$27))</f>
        <v>513.61754518291468</v>
      </c>
      <c r="F27" s="6">
        <f t="shared" si="4"/>
        <v>254.42821801346406</v>
      </c>
      <c r="G27" s="9">
        <f>F12/(((H12*B$9)+(1-H12)*B$10)+F12)</f>
        <v>0.98663147717301247</v>
      </c>
      <c r="H27" s="6">
        <f t="shared" si="5"/>
        <v>14.90048907417018</v>
      </c>
      <c r="I27" s="9">
        <f>J12/(((L12*C$9)+(1-L12)*C$10)+J12)</f>
        <v>0.96695456105718725</v>
      </c>
      <c r="J27" s="6">
        <f t="shared" si="6"/>
        <v>158.03616774858915</v>
      </c>
      <c r="K27" s="9">
        <f>N12/(((P12*D$9)+(1-P12)*D$10)+N12)</f>
        <v>0.98750282496677921</v>
      </c>
    </row>
    <row r="28" spans="2:20" x14ac:dyDescent="0.35">
      <c r="F28" s="6">
        <f t="shared" si="4"/>
        <v>318.03527251683005</v>
      </c>
      <c r="G28" s="9">
        <f>F13/(((H13*B$9)+(1-H13)*B$10)+F13)</f>
        <v>0.98830851189301805</v>
      </c>
      <c r="H28" s="6">
        <f t="shared" si="5"/>
        <v>18.625611342712723</v>
      </c>
      <c r="I28" s="9">
        <f>J13/(((L13*C$9)+(1-L13)*C$10)+J13)</f>
        <v>0.96665903073657744</v>
      </c>
      <c r="J28" s="6">
        <f t="shared" si="6"/>
        <v>197.54520968573644</v>
      </c>
      <c r="K28" s="9">
        <f>N13/(((P13*D$9)+(1-P13)*D$10)+N13)</f>
        <v>0.98997714913072632</v>
      </c>
    </row>
    <row r="29" spans="2:20" x14ac:dyDescent="0.35">
      <c r="F29" s="6">
        <f t="shared" si="4"/>
        <v>381.64232702019609</v>
      </c>
      <c r="G29" s="9">
        <f>F14/(((H14*B$9)+(1-H14)*B$10)+F14)</f>
        <v>0.98948005068635148</v>
      </c>
      <c r="H29" s="6">
        <f t="shared" si="5"/>
        <v>22.350733611255269</v>
      </c>
      <c r="I29" s="9">
        <f>J14/(((L14*C$9)+(1-L14)*C$10)+J14)</f>
        <v>0.95508431488466095</v>
      </c>
      <c r="J29" s="6">
        <f t="shared" si="6"/>
        <v>237.05425162288373</v>
      </c>
      <c r="K29" s="9">
        <f>N14/(((P14*D$9)+(1-P14)*D$10)+N14)</f>
        <v>0.99084899211040844</v>
      </c>
    </row>
    <row r="30" spans="2:20" x14ac:dyDescent="0.35">
      <c r="F30" s="6">
        <f t="shared" si="4"/>
        <v>445.24938152356202</v>
      </c>
      <c r="G30" s="9">
        <f>F15/(((H15*B$9)+(1-H15)*B$10)+F15)</f>
        <v>0.99042938858494134</v>
      </c>
      <c r="H30" s="6">
        <f t="shared" si="5"/>
        <v>26.07585587979781</v>
      </c>
      <c r="I30" s="9">
        <f>J15/(((L15*C$9)+(1-L15)*C$10)+J15)</f>
        <v>0.94460244812022565</v>
      </c>
      <c r="J30" s="6">
        <f t="shared" si="6"/>
        <v>276.56329356003096</v>
      </c>
      <c r="K30" s="9">
        <f>N15/(((P15*D$9)+(1-P15)*D$10)+N15)</f>
        <v>0.98645849033554733</v>
      </c>
    </row>
    <row r="31" spans="2:20" x14ac:dyDescent="0.35">
      <c r="F31" s="6">
        <f t="shared" si="4"/>
        <v>508.85643602692812</v>
      </c>
      <c r="G31" s="9">
        <f>F16/(((H16*B$9)+(1-H16)*B$10)+F16)</f>
        <v>0.99182131731018774</v>
      </c>
      <c r="H31" s="6">
        <f t="shared" si="5"/>
        <v>29.800978148340359</v>
      </c>
      <c r="I31" s="9">
        <f>J16/(((L16*C$9)+(1-L16)*C$10)+J16)</f>
        <v>0.94224981032714439</v>
      </c>
      <c r="J31" s="6">
        <f t="shared" si="6"/>
        <v>316.0723354971783</v>
      </c>
      <c r="K31" s="9">
        <f>N16/(((P16*D$9)+(1-P16)*D$10)+N16)</f>
        <v>0.98750417884359409</v>
      </c>
    </row>
    <row r="32" spans="2:20" x14ac:dyDescent="0.35">
      <c r="F32" s="6">
        <f t="shared" si="4"/>
        <v>572.46349053029405</v>
      </c>
      <c r="G32" s="9">
        <f>F17/(((H17*B$9)+(1-H17)*B$10)+F17)</f>
        <v>0.99197059489460615</v>
      </c>
      <c r="H32" s="6">
        <f t="shared" si="5"/>
        <v>33.526100416882898</v>
      </c>
      <c r="I32" s="9">
        <f>J17/(((L17*C$9)+(1-L17)*C$10)+J17)</f>
        <v>0.94505758846234411</v>
      </c>
      <c r="J32" s="6">
        <f t="shared" si="6"/>
        <v>355.58137743432553</v>
      </c>
      <c r="K32" s="9">
        <f>N17/(((P17*D$9)+(1-P17)*D$10)+N17)</f>
        <v>0.98887595350341739</v>
      </c>
    </row>
    <row r="33" spans="6:11" x14ac:dyDescent="0.35">
      <c r="F33" s="6">
        <f t="shared" si="4"/>
        <v>636.0705450336601</v>
      </c>
      <c r="G33" s="9">
        <f>F18/(((H18*B$9)+(1-H18)*B$10)+F18)</f>
        <v>0.9926077283903546</v>
      </c>
      <c r="H33" s="6">
        <f t="shared" si="5"/>
        <v>37.251222685425446</v>
      </c>
      <c r="I33" s="9">
        <f>J18/(((L18*C$9)+(1-L18)*C$10)+J18)</f>
        <v>0.94935242497488892</v>
      </c>
      <c r="J33" s="6">
        <f t="shared" si="6"/>
        <v>395.09041937147288</v>
      </c>
      <c r="K33" s="9">
        <f>N18/(((P18*D$9)+(1-P18)*D$10)+N18)</f>
        <v>0.98997720865787942</v>
      </c>
    </row>
    <row r="34" spans="6:11" x14ac:dyDescent="0.35">
      <c r="F34" s="6">
        <f t="shared" si="4"/>
        <v>699.67759953702614</v>
      </c>
      <c r="G34" s="9">
        <f>F19/(((H19*B$9)+(1-H19)*B$10)+F19)</f>
        <v>0.99317034924467307</v>
      </c>
      <c r="H34" s="6">
        <f t="shared" si="5"/>
        <v>40.976344953967988</v>
      </c>
      <c r="I34" s="9">
        <f>J19/(((L19*C$9)+(1-L19)*C$10)+J19)</f>
        <v>0.95352499800093293</v>
      </c>
      <c r="J34" s="6">
        <f t="shared" si="6"/>
        <v>434.59946130862011</v>
      </c>
      <c r="K34" s="9">
        <f>N19/(((P19*D$9)+(1-P19)*D$10)+N19)</f>
        <v>0.99088006175824872</v>
      </c>
    </row>
    <row r="35" spans="6:11" x14ac:dyDescent="0.35">
      <c r="F35" s="6">
        <f t="shared" si="4"/>
        <v>763.28465404039218</v>
      </c>
      <c r="G35" s="9">
        <f>F20/(((H20*B$9)+(1-H20)*B$10)+F20)</f>
        <v>0.99366707822581168</v>
      </c>
      <c r="H35" s="6">
        <f t="shared" si="5"/>
        <v>44.701467222510537</v>
      </c>
      <c r="I35" s="9">
        <f>J20/(((L20*C$9)+(1-L20)*C$10)+J20)</f>
        <v>0.95718655087936533</v>
      </c>
      <c r="J35" s="6">
        <f t="shared" si="6"/>
        <v>474.10850324576745</v>
      </c>
      <c r="K35" s="9">
        <f>N20/(((P20*D$9)+(1-P20)*D$10)+N20)</f>
        <v>0.9916336982654671</v>
      </c>
    </row>
    <row r="36" spans="6:11" x14ac:dyDescent="0.35">
      <c r="F36" s="6">
        <f t="shared" si="4"/>
        <v>826.89170854375811</v>
      </c>
      <c r="G36" s="9">
        <f>F21/(((H21*B$9)+(1-H21)*B$10)+F21)</f>
        <v>0.99410601051169356</v>
      </c>
      <c r="H36" s="6">
        <f t="shared" si="5"/>
        <v>48.426589491053079</v>
      </c>
      <c r="I36" s="9">
        <f>J21/(((L21*C$9)+(1-L21)*C$10)+J21)</f>
        <v>0.96034050342490174</v>
      </c>
      <c r="J36" s="6">
        <f t="shared" si="6"/>
        <v>513.61754518291468</v>
      </c>
      <c r="K36" s="9">
        <f>N21/(((P21*D$9)+(1-P21)*D$10)+N21)</f>
        <v>0.99227228667724843</v>
      </c>
    </row>
    <row r="37" spans="6:11" x14ac:dyDescent="0.35">
      <c r="F37" s="34">
        <v>270</v>
      </c>
      <c r="G37" s="9">
        <f>F22/(((H22*B$9)+(1-H22)*B$10)+F22)</f>
        <v>0.9871183596999471</v>
      </c>
      <c r="H37" s="34">
        <v>1910</v>
      </c>
      <c r="I37" s="9">
        <f>J22/(((L22*C$9)+(1-L22)*C$10)+J22)</f>
        <v>0.9989539748953975</v>
      </c>
      <c r="J37" s="34">
        <v>9650</v>
      </c>
      <c r="K37" s="9">
        <f>N22/(((P22*D$9)+(1-P22)*D$10)+N22)</f>
        <v>0.99958566397348247</v>
      </c>
    </row>
  </sheetData>
  <mergeCells count="1">
    <mergeCell ref="B14:E14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BA3E-A867-46FB-93C1-DC2C8A308026}">
  <dimension ref="A1:E102"/>
  <sheetViews>
    <sheetView workbookViewId="0">
      <selection activeCell="O24" sqref="O24"/>
    </sheetView>
  </sheetViews>
  <sheetFormatPr defaultRowHeight="14.5" x14ac:dyDescent="0.35"/>
  <cols>
    <col min="1" max="1" width="11.81640625" bestFit="1" customWidth="1"/>
    <col min="2" max="2" width="11.81640625" customWidth="1"/>
    <col min="3" max="3" width="15.26953125" style="33" customWidth="1"/>
    <col min="5" max="5" width="11.36328125" bestFit="1" customWidth="1"/>
  </cols>
  <sheetData>
    <row r="1" spans="1:5" x14ac:dyDescent="0.35">
      <c r="A1" t="s">
        <v>1</v>
      </c>
      <c r="B1" t="s">
        <v>28</v>
      </c>
      <c r="C1" s="33" t="s">
        <v>0</v>
      </c>
    </row>
    <row r="2" spans="1:5" x14ac:dyDescent="0.35">
      <c r="A2">
        <v>53.385899999999999</v>
      </c>
      <c r="B2">
        <f>($E$2-LN(Tabela5[[#This Row],[Tempo]]))/$E$3</f>
        <v>3.9730231290622871</v>
      </c>
      <c r="C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0.9999637604415289</v>
      </c>
      <c r="D2" s="18" t="s">
        <v>26</v>
      </c>
      <c r="E2" s="8">
        <v>5.9093828021596035</v>
      </c>
    </row>
    <row r="3" spans="1:5" x14ac:dyDescent="0.35">
      <c r="A3">
        <v>101.5258</v>
      </c>
      <c r="B3">
        <f>($E$2-LN(Tabela5[[#This Row],[Tempo]]))/$E$3</f>
        <v>2.6511070109695147</v>
      </c>
      <c r="C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0.99592178061563863</v>
      </c>
      <c r="D3" s="18" t="s">
        <v>27</v>
      </c>
      <c r="E3" s="8">
        <v>0.48623833117710302</v>
      </c>
    </row>
    <row r="4" spans="1:5" x14ac:dyDescent="0.35">
      <c r="A4">
        <v>110.55710000000001</v>
      </c>
      <c r="B4">
        <f>($E$2-LN(Tabela5[[#This Row],[Tempo]]))/$E$3</f>
        <v>2.4758448591891904</v>
      </c>
      <c r="C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0.99324963688554302</v>
      </c>
    </row>
    <row r="5" spans="1:5" x14ac:dyDescent="0.35">
      <c r="A5">
        <v>128.5453</v>
      </c>
      <c r="B5">
        <f>($E$2-LN(Tabela5[[#This Row],[Tempo]]))/$E$3</f>
        <v>2.165813271479188</v>
      </c>
      <c r="C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0.98462852558224512</v>
      </c>
    </row>
    <row r="6" spans="1:5" x14ac:dyDescent="0.35">
      <c r="A6">
        <v>130.60120000000001</v>
      </c>
      <c r="B6">
        <f>($E$2-LN(Tabela5[[#This Row],[Tempo]]))/$E$3</f>
        <v>2.1331810564730738</v>
      </c>
      <c r="C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0.98332214586113176</v>
      </c>
    </row>
    <row r="7" spans="1:5" x14ac:dyDescent="0.35">
      <c r="A7">
        <v>137.7944</v>
      </c>
      <c r="B7">
        <f>($E$2-LN(Tabela5[[#This Row],[Tempo]]))/$E$3</f>
        <v>2.022917610446938</v>
      </c>
      <c r="C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0.97818388618132457</v>
      </c>
    </row>
    <row r="8" spans="1:5" x14ac:dyDescent="0.35">
      <c r="A8">
        <v>145.9982</v>
      </c>
      <c r="B8">
        <f>($E$2-LN(Tabela5[[#This Row],[Tempo]]))/$E$3</f>
        <v>1.9039809285565965</v>
      </c>
      <c r="C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0.97120468158678352</v>
      </c>
    </row>
    <row r="9" spans="1:5" x14ac:dyDescent="0.35">
      <c r="A9">
        <v>151.67240000000001</v>
      </c>
      <c r="B9">
        <f>($E$2-LN(Tabela5[[#This Row],[Tempo]]))/$E$3</f>
        <v>1.825565393506857</v>
      </c>
      <c r="C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0.96565776738172293</v>
      </c>
    </row>
    <row r="10" spans="1:5" x14ac:dyDescent="0.35">
      <c r="A10">
        <v>162.1352</v>
      </c>
      <c r="B10">
        <f>($E$2-LN(Tabela5[[#This Row],[Tempo]]))/$E$3</f>
        <v>1.6883741869892217</v>
      </c>
      <c r="C1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0.95386257144123587</v>
      </c>
    </row>
    <row r="11" spans="1:5" x14ac:dyDescent="0.35">
      <c r="A11">
        <v>165.8409</v>
      </c>
      <c r="B11">
        <f>($E$2-LN(Tabela5[[#This Row],[Tempo]]))/$E$3</f>
        <v>1.6418983365556774</v>
      </c>
      <c r="C1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0.94919813527929675</v>
      </c>
    </row>
    <row r="12" spans="1:5" x14ac:dyDescent="0.35">
      <c r="A12">
        <v>170.22730000000001</v>
      </c>
      <c r="B12">
        <f>($E$2-LN(Tabela5[[#This Row],[Tempo]]))/$E$3</f>
        <v>1.5882092172443667</v>
      </c>
      <c r="C1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0.94335142259395899</v>
      </c>
    </row>
    <row r="13" spans="1:5" x14ac:dyDescent="0.35">
      <c r="A13">
        <v>177.5179</v>
      </c>
      <c r="B13">
        <f>($E$2-LN(Tabela5[[#This Row],[Tempo]]))/$E$3</f>
        <v>1.5019617056727492</v>
      </c>
      <c r="C1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0.93286674296786021</v>
      </c>
    </row>
    <row r="14" spans="1:5" x14ac:dyDescent="0.35">
      <c r="A14">
        <v>185.01329999999999</v>
      </c>
      <c r="B14">
        <f>($E$2-LN(Tabela5[[#This Row],[Tempo]]))/$E$3</f>
        <v>1.4169082188679745</v>
      </c>
      <c r="C1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0.92111954582019828</v>
      </c>
    </row>
    <row r="15" spans="1:5" x14ac:dyDescent="0.35">
      <c r="A15">
        <v>194.71719999999999</v>
      </c>
      <c r="B15">
        <f>($E$2-LN(Tabela5[[#This Row],[Tempo]]))/$E$3</f>
        <v>1.3117734899708606</v>
      </c>
      <c r="C1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0.90452882717291139</v>
      </c>
    </row>
    <row r="16" spans="1:5" x14ac:dyDescent="0.35">
      <c r="A16">
        <v>206.39769999999999</v>
      </c>
      <c r="B16">
        <f>($E$2-LN(Tabela5[[#This Row],[Tempo]]))/$E$3</f>
        <v>1.1919626135234422</v>
      </c>
      <c r="C1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0.88265357581669712</v>
      </c>
    </row>
    <row r="17" spans="1:3" x14ac:dyDescent="0.35">
      <c r="A17">
        <v>209.3133</v>
      </c>
      <c r="B17">
        <f>($E$2-LN(Tabela5[[#This Row],[Tempo]]))/$E$3</f>
        <v>1.1631140395841484</v>
      </c>
      <c r="C1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0.87689501121074853</v>
      </c>
    </row>
    <row r="18" spans="1:3" x14ac:dyDescent="0.35">
      <c r="A18">
        <v>210.3767</v>
      </c>
      <c r="B18">
        <f>($E$2-LN(Tabela5[[#This Row],[Tempo]]))/$E$3</f>
        <v>1.1526920708130199</v>
      </c>
      <c r="C1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0.87476685431497114</v>
      </c>
    </row>
    <row r="19" spans="1:3" x14ac:dyDescent="0.35">
      <c r="A19">
        <v>210.52510000000001</v>
      </c>
      <c r="B19">
        <f>($E$2-LN(Tabela5[[#This Row],[Tempo]]))/$E$3</f>
        <v>1.1512418506487578</v>
      </c>
      <c r="C1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0.87446870216310701</v>
      </c>
    </row>
    <row r="20" spans="1:3" x14ac:dyDescent="0.35">
      <c r="A20">
        <v>211.7158</v>
      </c>
      <c r="B20">
        <f>($E$2-LN(Tabela5[[#This Row],[Tempo]]))/$E$3</f>
        <v>1.1396427582053448</v>
      </c>
      <c r="C2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0.872066251419095</v>
      </c>
    </row>
    <row r="21" spans="1:3" x14ac:dyDescent="0.35">
      <c r="A21">
        <v>211.94909999999999</v>
      </c>
      <c r="B21">
        <f>($E$2-LN(Tabela5[[#This Row],[Tempo]]))/$E$3</f>
        <v>1.1373777326762027</v>
      </c>
      <c r="C2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0.8715934160621881</v>
      </c>
    </row>
    <row r="22" spans="1:3" x14ac:dyDescent="0.35">
      <c r="A22">
        <v>213.42769999999999</v>
      </c>
      <c r="B22">
        <f>($E$2-LN(Tabela5[[#This Row],[Tempo]]))/$E$3</f>
        <v>1.1230802540950846</v>
      </c>
      <c r="C2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0.86858082477970144</v>
      </c>
    </row>
    <row r="23" spans="1:3" x14ac:dyDescent="0.35">
      <c r="A23">
        <v>234.8766</v>
      </c>
      <c r="B23">
        <f>($E$2-LN(Tabela5[[#This Row],[Tempo]]))/$E$3</f>
        <v>0.92613540200523936</v>
      </c>
      <c r="C2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0.82212670810336297</v>
      </c>
    </row>
    <row r="24" spans="1:3" x14ac:dyDescent="0.35">
      <c r="A24">
        <v>237.71170000000001</v>
      </c>
      <c r="B24">
        <f>($E$2-LN(Tabela5[[#This Row],[Tempo]]))/$E$3</f>
        <v>0.90145959129889652</v>
      </c>
      <c r="C2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0.815653148840772</v>
      </c>
    </row>
    <row r="25" spans="1:3" x14ac:dyDescent="0.35">
      <c r="A25">
        <v>238.84889999999999</v>
      </c>
      <c r="B25">
        <f>($E$2-LN(Tabela5[[#This Row],[Tempo]]))/$E$3</f>
        <v>0.89164436437077943</v>
      </c>
      <c r="C2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0.81303801652596197</v>
      </c>
    </row>
    <row r="26" spans="1:3" x14ac:dyDescent="0.35">
      <c r="A26">
        <v>240.0094</v>
      </c>
      <c r="B26">
        <f>($E$2-LN(Tabela5[[#This Row],[Tempo]]))/$E$3</f>
        <v>0.88167609468409447</v>
      </c>
      <c r="C2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0.81035878532422467</v>
      </c>
    </row>
    <row r="27" spans="1:3" x14ac:dyDescent="0.35">
      <c r="A27">
        <v>240.0205</v>
      </c>
      <c r="B27">
        <f>($E$2-LN(Tabela5[[#This Row],[Tempo]]))/$E$3</f>
        <v>0.8815809826449299</v>
      </c>
      <c r="C2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0.81033310847460405</v>
      </c>
    </row>
    <row r="28" spans="1:3" x14ac:dyDescent="0.35">
      <c r="A28">
        <v>247.6952</v>
      </c>
      <c r="B28">
        <f>($E$2-LN(Tabela5[[#This Row],[Tempo]]))/$E$3</f>
        <v>0.81685013020407382</v>
      </c>
      <c r="C2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0.7923660769675368</v>
      </c>
    </row>
    <row r="29" spans="1:3" x14ac:dyDescent="0.35">
      <c r="A29">
        <v>249.0461</v>
      </c>
      <c r="B29">
        <f>($E$2-LN(Tabela5[[#This Row],[Tempo]]))/$E$3</f>
        <v>0.80566413042899432</v>
      </c>
      <c r="C2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0.78916249514391912</v>
      </c>
    </row>
    <row r="30" spans="1:3" x14ac:dyDescent="0.35">
      <c r="A30">
        <v>251.584</v>
      </c>
      <c r="B30">
        <f>($E$2-LN(Tabela5[[#This Row],[Tempo]]))/$E$3</f>
        <v>0.78481240143368258</v>
      </c>
      <c r="C3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0.78311401953897586</v>
      </c>
    </row>
    <row r="31" spans="1:3" x14ac:dyDescent="0.35">
      <c r="A31">
        <v>251.85679999999999</v>
      </c>
      <c r="B31">
        <f>($E$2-LN(Tabela5[[#This Row],[Tempo]]))/$E$3</f>
        <v>0.78258357216044694</v>
      </c>
      <c r="C3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0.78246162491622928</v>
      </c>
    </row>
    <row r="32" spans="1:3" x14ac:dyDescent="0.35">
      <c r="A32">
        <v>256.65359999999998</v>
      </c>
      <c r="B32">
        <f>($E$2-LN(Tabela5[[#This Row],[Tempo]]))/$E$3</f>
        <v>0.74378234535993082</v>
      </c>
      <c r="C3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0.77092419798315337</v>
      </c>
    </row>
    <row r="33" spans="1:3" x14ac:dyDescent="0.35">
      <c r="A33">
        <v>266.50119999999998</v>
      </c>
      <c r="B33">
        <f>($E$2-LN(Tabela5[[#This Row],[Tempo]]))/$E$3</f>
        <v>0.66634823907284846</v>
      </c>
      <c r="C3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0.74690474167901044</v>
      </c>
    </row>
    <row r="34" spans="1:3" x14ac:dyDescent="0.35">
      <c r="A34">
        <v>277.54599999999999</v>
      </c>
      <c r="B34">
        <f>($E$2-LN(Tabela5[[#This Row],[Tempo]]))/$E$3</f>
        <v>0.5828337643783037</v>
      </c>
      <c r="C3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0.71958362051667857</v>
      </c>
    </row>
    <row r="35" spans="1:3" x14ac:dyDescent="0.35">
      <c r="A35">
        <v>281.93880000000001</v>
      </c>
      <c r="B35">
        <f>($E$2-LN(Tabela5[[#This Row],[Tempo]]))/$E$3</f>
        <v>0.55053820089125949</v>
      </c>
      <c r="C3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0.70864683916356241</v>
      </c>
    </row>
    <row r="36" spans="1:3" x14ac:dyDescent="0.35">
      <c r="A36">
        <v>288.44130000000001</v>
      </c>
      <c r="B36">
        <f>($E$2-LN(Tabela5[[#This Row],[Tempo]]))/$E$3</f>
        <v>0.50364438057602312</v>
      </c>
      <c r="C3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0.692419208861349</v>
      </c>
    </row>
    <row r="37" spans="1:3" x14ac:dyDescent="0.35">
      <c r="A37">
        <v>306.43700000000001</v>
      </c>
      <c r="B37">
        <f>($E$2-LN(Tabela5[[#This Row],[Tempo]]))/$E$3</f>
        <v>0.37917745801167302</v>
      </c>
      <c r="C3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0.64753370410771161</v>
      </c>
    </row>
    <row r="38" spans="1:3" x14ac:dyDescent="0.35">
      <c r="A38">
        <v>306.4726</v>
      </c>
      <c r="B38">
        <f>($E$2-LN(Tabela5[[#This Row],[Tempo]]))/$E$3</f>
        <v>0.37893854798423171</v>
      </c>
      <c r="C3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0.64744524650358248</v>
      </c>
    </row>
    <row r="39" spans="1:3" x14ac:dyDescent="0.35">
      <c r="A39">
        <v>306.68970000000002</v>
      </c>
      <c r="B39">
        <f>($E$2-LN(Tabela5[[#This Row],[Tempo]]))/$E$3</f>
        <v>0.37748219986103643</v>
      </c>
      <c r="C3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0.64690585090283426</v>
      </c>
    </row>
    <row r="40" spans="1:3" x14ac:dyDescent="0.35">
      <c r="A40">
        <v>308.18939999999998</v>
      </c>
      <c r="B40">
        <f>($E$2-LN(Tabela5[[#This Row],[Tempo]]))/$E$3</f>
        <v>0.36744999655551469</v>
      </c>
      <c r="C4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0.64318204035620719</v>
      </c>
    </row>
    <row r="41" spans="1:3" x14ac:dyDescent="0.35">
      <c r="A41">
        <v>308.27</v>
      </c>
      <c r="B41">
        <f>($E$2-LN(Tabela5[[#This Row],[Tempo]]))/$E$3</f>
        <v>0.36691220823208143</v>
      </c>
      <c r="C4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0.64298202359942913</v>
      </c>
    </row>
    <row r="42" spans="1:3" x14ac:dyDescent="0.35">
      <c r="A42">
        <v>318.57580000000002</v>
      </c>
      <c r="B42">
        <f>($E$2-LN(Tabela5[[#This Row],[Tempo]]))/$E$3</f>
        <v>0.29928196843206062</v>
      </c>
      <c r="C4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0.61752525435914984</v>
      </c>
    </row>
    <row r="43" spans="1:3" x14ac:dyDescent="0.35">
      <c r="A43">
        <v>319.92739999999998</v>
      </c>
      <c r="B43">
        <f>($E$2-LN(Tabela5[[#This Row],[Tempo]]))/$E$3</f>
        <v>0.29057500827592303</v>
      </c>
      <c r="C4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0.6142068661698159</v>
      </c>
    </row>
    <row r="44" spans="1:3" x14ac:dyDescent="0.35">
      <c r="A44">
        <v>325.19409999999999</v>
      </c>
      <c r="B44">
        <f>($E$2-LN(Tabela5[[#This Row],[Tempo]]))/$E$3</f>
        <v>0.25699448052449175</v>
      </c>
      <c r="C4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0.60132979050389146</v>
      </c>
    </row>
    <row r="45" spans="1:3" x14ac:dyDescent="0.35">
      <c r="A45">
        <v>332.50299999999999</v>
      </c>
      <c r="B45">
        <f>($E$2-LN(Tabela5[[#This Row],[Tempo]]))/$E$3</f>
        <v>0.21128305392811061</v>
      </c>
      <c r="C4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0.58361802858029876</v>
      </c>
    </row>
    <row r="46" spans="1:3" x14ac:dyDescent="0.35">
      <c r="A46">
        <v>334.15129999999999</v>
      </c>
      <c r="B46">
        <f>($E$2-LN(Tabela5[[#This Row],[Tempo]]))/$E$3</f>
        <v>0.20111314035034844</v>
      </c>
      <c r="C4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0.57965185621762849</v>
      </c>
    </row>
    <row r="47" spans="1:3" x14ac:dyDescent="0.35">
      <c r="A47">
        <v>334.19749999999999</v>
      </c>
      <c r="B47">
        <f>($E$2-LN(Tabela5[[#This Row],[Tempo]]))/$E$3</f>
        <v>0.200828812365455</v>
      </c>
      <c r="C4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0.57954084695842534</v>
      </c>
    </row>
    <row r="48" spans="1:3" x14ac:dyDescent="0.35">
      <c r="A48">
        <v>336.19729999999998</v>
      </c>
      <c r="B48">
        <f>($E$2-LN(Tabela5[[#This Row],[Tempo]]))/$E$3</f>
        <v>0.18855899725007544</v>
      </c>
      <c r="C4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0.57474417484870399</v>
      </c>
    </row>
    <row r="49" spans="1:3" x14ac:dyDescent="0.35">
      <c r="A49">
        <v>337.08550000000002</v>
      </c>
      <c r="B49">
        <f>($E$2-LN(Tabela5[[#This Row],[Tempo]]))/$E$3</f>
        <v>0.1831328159003808</v>
      </c>
      <c r="C4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0.57261914096955269</v>
      </c>
    </row>
    <row r="50" spans="1:3" x14ac:dyDescent="0.35">
      <c r="A50">
        <v>340.17989999999998</v>
      </c>
      <c r="B50">
        <f>($E$2-LN(Tabela5[[#This Row],[Tempo]]))/$E$3</f>
        <v>0.1643395876303641</v>
      </c>
      <c r="C5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0.56524243480309666</v>
      </c>
    </row>
    <row r="51" spans="1:3" x14ac:dyDescent="0.35">
      <c r="A51">
        <v>340.39229999999998</v>
      </c>
      <c r="B51">
        <f>($E$2-LN(Tabela5[[#This Row],[Tempo]]))/$E$3</f>
        <v>0.16305589477248797</v>
      </c>
      <c r="C5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0.5647376515563568</v>
      </c>
    </row>
    <row r="52" spans="1:3" x14ac:dyDescent="0.35">
      <c r="A52">
        <v>341.47930000000002</v>
      </c>
      <c r="B52">
        <f>($E$2-LN(Tabela5[[#This Row],[Tempo]]))/$E$3</f>
        <v>0.1564988505447876</v>
      </c>
      <c r="C5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0.56215751624373911</v>
      </c>
    </row>
    <row r="53" spans="1:3" x14ac:dyDescent="0.35">
      <c r="A53">
        <v>360.85270000000003</v>
      </c>
      <c r="B53">
        <f>($E$2-LN(Tabela5[[#This Row],[Tempo]]))/$E$3</f>
        <v>4.3009690917019096E-2</v>
      </c>
      <c r="C5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0.51715248367177069</v>
      </c>
    </row>
    <row r="54" spans="1:3" x14ac:dyDescent="0.35">
      <c r="A54">
        <v>362.83179999999999</v>
      </c>
      <c r="B54">
        <f>($E$2-LN(Tabela5[[#This Row],[Tempo]]))/$E$3</f>
        <v>3.1761042210999166E-2</v>
      </c>
      <c r="C5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0.51266843961508446</v>
      </c>
    </row>
    <row r="55" spans="1:3" x14ac:dyDescent="0.35">
      <c r="A55">
        <v>368.88420000000002</v>
      </c>
      <c r="B55">
        <f>($E$2-LN(Tabela5[[#This Row],[Tempo]]))/$E$3</f>
        <v>-2.2622064531436256E-3</v>
      </c>
      <c r="C5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0.49909751106654388</v>
      </c>
    </row>
    <row r="56" spans="1:3" x14ac:dyDescent="0.35">
      <c r="A56">
        <v>373.69400000000002</v>
      </c>
      <c r="B56">
        <f>($E$2-LN(Tabela5[[#This Row],[Tempo]]))/$E$3</f>
        <v>-2.8904505552447134E-2</v>
      </c>
      <c r="C5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0.48847056807958217</v>
      </c>
    </row>
    <row r="57" spans="1:3" x14ac:dyDescent="0.35">
      <c r="A57">
        <v>374.21260000000001</v>
      </c>
      <c r="B57">
        <f>($E$2-LN(Tabela5[[#This Row],[Tempo]]))/$E$3</f>
        <v>-3.1756613900360657E-2</v>
      </c>
      <c r="C5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0.48733332603135537</v>
      </c>
    </row>
    <row r="58" spans="1:3" x14ac:dyDescent="0.35">
      <c r="A58">
        <v>379.858</v>
      </c>
      <c r="B58">
        <f>($E$2-LN(Tabela5[[#This Row],[Tempo]]))/$E$3</f>
        <v>-6.255100546953965E-2</v>
      </c>
      <c r="C5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0.47506382064422015</v>
      </c>
    </row>
    <row r="59" spans="1:3" x14ac:dyDescent="0.35">
      <c r="A59">
        <v>382.45299999999997</v>
      </c>
      <c r="B59">
        <f>($E$2-LN(Tabela5[[#This Row],[Tempo]]))/$E$3</f>
        <v>-7.6552927553102251E-2</v>
      </c>
      <c r="C5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0.46949279335708521</v>
      </c>
    </row>
    <row r="60" spans="1:3" x14ac:dyDescent="0.35">
      <c r="A60">
        <v>388.09039999999999</v>
      </c>
      <c r="B60">
        <f>($E$2-LN(Tabela5[[#This Row],[Tempo]]))/$E$3</f>
        <v>-0.10664626108553642</v>
      </c>
      <c r="C6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0.45754284303771414</v>
      </c>
    </row>
    <row r="61" spans="1:3" x14ac:dyDescent="0.35">
      <c r="A61">
        <v>390.971</v>
      </c>
      <c r="B61">
        <f>($E$2-LN(Tabela5[[#This Row],[Tempo]]))/$E$3</f>
        <v>-0.12185502968005611</v>
      </c>
      <c r="C6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0.45151847927166416</v>
      </c>
    </row>
    <row r="62" spans="1:3" x14ac:dyDescent="0.35">
      <c r="A62">
        <v>393.82170000000002</v>
      </c>
      <c r="B62">
        <f>($E$2-LN(Tabela5[[#This Row],[Tempo]]))/$E$3</f>
        <v>-0.13679601622518378</v>
      </c>
      <c r="C6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0.44561180954370327</v>
      </c>
    </row>
    <row r="63" spans="1:3" x14ac:dyDescent="0.35">
      <c r="A63">
        <v>405.46660000000003</v>
      </c>
      <c r="B63">
        <f>($E$2-LN(Tabela5[[#This Row],[Tempo]]))/$E$3</f>
        <v>-0.1967259560230834</v>
      </c>
      <c r="C6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0.42206175256183476</v>
      </c>
    </row>
    <row r="64" spans="1:3" x14ac:dyDescent="0.35">
      <c r="A64">
        <v>408.81049999999999</v>
      </c>
      <c r="B64">
        <f>($E$2-LN(Tabela5[[#This Row],[Tempo]]))/$E$3</f>
        <v>-0.21361730384376731</v>
      </c>
      <c r="C6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0.41547287581827624</v>
      </c>
    </row>
    <row r="65" spans="1:3" x14ac:dyDescent="0.35">
      <c r="A65">
        <v>409.25110000000001</v>
      </c>
      <c r="B65">
        <f>($E$2-LN(Tabela5[[#This Row],[Tempo]]))/$E$3</f>
        <v>-0.2158326384462288</v>
      </c>
      <c r="C6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0.41461053029055311</v>
      </c>
    </row>
    <row r="66" spans="1:3" x14ac:dyDescent="0.35">
      <c r="A66">
        <v>412.37040000000002</v>
      </c>
      <c r="B66">
        <f>($E$2-LN(Tabela5[[#This Row],[Tempo]]))/$E$3</f>
        <v>-0.23144858234245741</v>
      </c>
      <c r="C6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0.40854426263092103</v>
      </c>
    </row>
    <row r="67" spans="1:3" x14ac:dyDescent="0.35">
      <c r="A67">
        <v>414.01119999999997</v>
      </c>
      <c r="B67">
        <f>($E$2-LN(Tabela5[[#This Row],[Tempo]]))/$E$3</f>
        <v>-0.2396154662628634</v>
      </c>
      <c r="C6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0.40538067607657335</v>
      </c>
    </row>
    <row r="68" spans="1:3" x14ac:dyDescent="0.35">
      <c r="A68">
        <v>416.49459999999999</v>
      </c>
      <c r="B68">
        <f>($E$2-LN(Tabela5[[#This Row],[Tempo]]))/$E$3</f>
        <v>-0.25191492797501386</v>
      </c>
      <c r="C6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0.40062843465085357</v>
      </c>
    </row>
    <row r="69" spans="1:3" x14ac:dyDescent="0.35">
      <c r="A69">
        <v>419.2244</v>
      </c>
      <c r="B69">
        <f>($E$2-LN(Tabela5[[#This Row],[Tempo]]))/$E$3</f>
        <v>-0.26535039915064784</v>
      </c>
      <c r="C6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0.39545467612539825</v>
      </c>
    </row>
    <row r="70" spans="1:3" x14ac:dyDescent="0.35">
      <c r="A70">
        <v>421.39370000000002</v>
      </c>
      <c r="B70">
        <f>($E$2-LN(Tabela5[[#This Row],[Tempo]]))/$E$3</f>
        <v>-0.27596497505200457</v>
      </c>
      <c r="C7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0.39138059143326587</v>
      </c>
    </row>
    <row r="71" spans="1:3" x14ac:dyDescent="0.35">
      <c r="A71">
        <v>429.11009999999999</v>
      </c>
      <c r="B71">
        <f>($E$2-LN(Tabela5[[#This Row],[Tempo]]))/$E$3</f>
        <v>-0.31328407784926421</v>
      </c>
      <c r="C7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0.37715695274836175</v>
      </c>
    </row>
    <row r="72" spans="1:3" x14ac:dyDescent="0.35">
      <c r="A72">
        <v>429.7928</v>
      </c>
      <c r="B72">
        <f>($E$2-LN(Tabela5[[#This Row],[Tempo]]))/$E$3</f>
        <v>-0.3165534678399588</v>
      </c>
      <c r="C7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0.37591868533316214</v>
      </c>
    </row>
    <row r="73" spans="1:3" x14ac:dyDescent="0.35">
      <c r="A73">
        <v>458.12329999999997</v>
      </c>
      <c r="B73">
        <f>($E$2-LN(Tabela5[[#This Row],[Tempo]]))/$E$3</f>
        <v>-0.44783709085552936</v>
      </c>
      <c r="C7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0.32739766447787921</v>
      </c>
    </row>
    <row r="74" spans="1:3" x14ac:dyDescent="0.35">
      <c r="A74">
        <v>468.11009999999999</v>
      </c>
      <c r="B74">
        <f>($E$2-LN(Tabela5[[#This Row],[Tempo]]))/$E$3</f>
        <v>-0.49218810438184374</v>
      </c>
      <c r="C7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0.31160535488518992</v>
      </c>
    </row>
    <row r="75" spans="1:3" x14ac:dyDescent="0.35">
      <c r="A75">
        <v>468.92500000000001</v>
      </c>
      <c r="B75">
        <f>($E$2-LN(Tabela5[[#This Row],[Tempo]]))/$E$3</f>
        <v>-0.49576519029924004</v>
      </c>
      <c r="C7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0.31034626164501594</v>
      </c>
    </row>
    <row r="76" spans="1:3" x14ac:dyDescent="0.35">
      <c r="A76">
        <v>471.09780000000001</v>
      </c>
      <c r="B76">
        <f>($E$2-LN(Tabela5[[#This Row],[Tempo]]))/$E$3</f>
        <v>-0.50527261604256823</v>
      </c>
      <c r="C7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0.3070106721287893</v>
      </c>
    </row>
    <row r="77" spans="1:3" x14ac:dyDescent="0.35">
      <c r="A77">
        <v>478.15359999999998</v>
      </c>
      <c r="B77">
        <f>($E$2-LN(Tabela5[[#This Row],[Tempo]]))/$E$3</f>
        <v>-0.53584672560665592</v>
      </c>
      <c r="C7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0.29639377645797388</v>
      </c>
    </row>
    <row r="78" spans="1:3" x14ac:dyDescent="0.35">
      <c r="A78">
        <v>496.8014</v>
      </c>
      <c r="B78">
        <f>($E$2-LN(Tabela5[[#This Row],[Tempo]]))/$E$3</f>
        <v>-0.61452898163696357</v>
      </c>
      <c r="C7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0.26988084369834991</v>
      </c>
    </row>
    <row r="79" spans="1:3" x14ac:dyDescent="0.35">
      <c r="A79">
        <v>504.1268</v>
      </c>
      <c r="B79">
        <f>($E$2-LN(Tabela5[[#This Row],[Tempo]]))/$E$3</f>
        <v>-0.64463248056107703</v>
      </c>
      <c r="C7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0.26006192349126883</v>
      </c>
    </row>
    <row r="80" spans="1:3" x14ac:dyDescent="0.35">
      <c r="A80">
        <v>516.61590000000001</v>
      </c>
      <c r="B80">
        <f>($E$2-LN(Tabela5[[#This Row],[Tempo]]))/$E$3</f>
        <v>-0.69496136879085935</v>
      </c>
      <c r="C8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0.24406820477450508</v>
      </c>
    </row>
    <row r="81" spans="1:3" x14ac:dyDescent="0.35">
      <c r="A81">
        <v>556.01949999999999</v>
      </c>
      <c r="B81">
        <f>($E$2-LN(Tabela5[[#This Row],[Tempo]]))/$E$3</f>
        <v>-0.84612943291088705</v>
      </c>
      <c r="C8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0.19938574536499332</v>
      </c>
    </row>
    <row r="82" spans="1:3" x14ac:dyDescent="0.35">
      <c r="A82">
        <v>557.24620000000004</v>
      </c>
      <c r="B82">
        <f>($E$2-LN(Tabela5[[#This Row],[Tempo]]))/$E$3</f>
        <v>-0.85066175239696151</v>
      </c>
      <c r="C8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0.19812680273204106</v>
      </c>
    </row>
    <row r="83" spans="1:3" x14ac:dyDescent="0.35">
      <c r="A83">
        <v>557.95550000000003</v>
      </c>
      <c r="B83">
        <f>($E$2-LN(Tabela5[[#This Row],[Tempo]]))/$E$3</f>
        <v>-0.85327787081952244</v>
      </c>
      <c r="C8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0.19740230982757395</v>
      </c>
    </row>
    <row r="84" spans="1:3" x14ac:dyDescent="0.35">
      <c r="A84">
        <v>559.75760000000002</v>
      </c>
      <c r="B84">
        <f>($E$2-LN(Tabela5[[#This Row],[Tempo]]))/$E$3</f>
        <v>-0.8599096449365391</v>
      </c>
      <c r="C8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0.19557292503810203</v>
      </c>
    </row>
    <row r="85" spans="1:3" x14ac:dyDescent="0.35">
      <c r="A85">
        <v>565.34770000000003</v>
      </c>
      <c r="B85">
        <f>($E$2-LN(Tabela5[[#This Row],[Tempo]]))/$E$3</f>
        <v>-0.88034634558906011</v>
      </c>
      <c r="C8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0.19000039306184832</v>
      </c>
    </row>
    <row r="86" spans="1:3" x14ac:dyDescent="0.35">
      <c r="A86">
        <v>589.44439999999997</v>
      </c>
      <c r="B86">
        <f>($E$2-LN(Tabela5[[#This Row],[Tempo]]))/$E$3</f>
        <v>-0.96618790833373736</v>
      </c>
      <c r="C8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0.16767459256253428</v>
      </c>
    </row>
    <row r="87" spans="1:3" x14ac:dyDescent="0.35">
      <c r="A87">
        <v>590.90189999999996</v>
      </c>
      <c r="B87">
        <f>($E$2-LN(Tabela5[[#This Row],[Tempo]]))/$E$3</f>
        <v>-0.97126693092594685</v>
      </c>
      <c r="C8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0.16640869189902943</v>
      </c>
    </row>
    <row r="88" spans="1:3" x14ac:dyDescent="0.35">
      <c r="A88">
        <v>606.46100000000001</v>
      </c>
      <c r="B88">
        <f>($E$2-LN(Tabela5[[#This Row],[Tempo]]))/$E$3</f>
        <v>-1.0247189265615917</v>
      </c>
      <c r="C8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0.1534608359204587</v>
      </c>
    </row>
    <row r="89" spans="1:3" x14ac:dyDescent="0.35">
      <c r="A89">
        <v>607.67309999999998</v>
      </c>
      <c r="B89">
        <f>($E$2-LN(Tabela5[[#This Row],[Tempo]]))/$E$3</f>
        <v>-1.0288252461061063</v>
      </c>
      <c r="C8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0.15249445293834002</v>
      </c>
    </row>
    <row r="90" spans="1:3" x14ac:dyDescent="0.35">
      <c r="A90">
        <v>617.84739999999999</v>
      </c>
      <c r="B90">
        <f>($E$2-LN(Tabela5[[#This Row],[Tempo]]))/$E$3</f>
        <v>-1.0629739905313036</v>
      </c>
      <c r="C9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0.1446141514869527</v>
      </c>
    </row>
    <row r="91" spans="1:3" x14ac:dyDescent="0.35">
      <c r="A91">
        <v>651.36120000000005</v>
      </c>
      <c r="B91">
        <f>($E$2-LN(Tabela5[[#This Row],[Tempo]]))/$E$3</f>
        <v>-1.1716096579910775</v>
      </c>
      <c r="C9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0.12138899623623399</v>
      </c>
    </row>
    <row r="92" spans="1:3" x14ac:dyDescent="0.35">
      <c r="A92">
        <v>670.04169999999999</v>
      </c>
      <c r="B92">
        <f>($E$2-LN(Tabela5[[#This Row],[Tempo]]))/$E$3</f>
        <v>-1.2297614333429219</v>
      </c>
      <c r="C92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0.11009298525398159</v>
      </c>
    </row>
    <row r="93" spans="1:3" x14ac:dyDescent="0.35">
      <c r="A93">
        <v>715.05380000000002</v>
      </c>
      <c r="B93">
        <f>($E$2-LN(Tabela5[[#This Row],[Tempo]]))/$E$3</f>
        <v>-1.3634774141601531</v>
      </c>
      <c r="C93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8.7017215100944068E-2</v>
      </c>
    </row>
    <row r="94" spans="1:3" x14ac:dyDescent="0.35">
      <c r="A94">
        <v>719.59630000000004</v>
      </c>
      <c r="B94">
        <f>($E$2-LN(Tabela5[[#This Row],[Tempo]]))/$E$3</f>
        <v>-1.3765010186215847</v>
      </c>
      <c r="C94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8.4978485091785377E-2</v>
      </c>
    </row>
    <row r="95" spans="1:3" x14ac:dyDescent="0.35">
      <c r="A95">
        <v>725.44100000000003</v>
      </c>
      <c r="B95">
        <f>($E$2-LN(Tabela5[[#This Row],[Tempo]]))/$E$3</f>
        <v>-1.3931376861887823</v>
      </c>
      <c r="C95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8.2426393453954E-2</v>
      </c>
    </row>
    <row r="96" spans="1:3" x14ac:dyDescent="0.35">
      <c r="A96">
        <v>752.87390000000005</v>
      </c>
      <c r="B96">
        <f>($E$2-LN(Tabela5[[#This Row],[Tempo]]))/$E$3</f>
        <v>-1.4694747458670676</v>
      </c>
      <c r="C96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7.1449906379723677E-2</v>
      </c>
    </row>
    <row r="97" spans="1:3" x14ac:dyDescent="0.35">
      <c r="A97">
        <v>771.91470000000004</v>
      </c>
      <c r="B97">
        <f>($E$2-LN(Tabela5[[#This Row],[Tempo]]))/$E$3</f>
        <v>-1.5208411227932006</v>
      </c>
      <c r="C97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6.4718800058447531E-2</v>
      </c>
    </row>
    <row r="98" spans="1:3" x14ac:dyDescent="0.35">
      <c r="A98">
        <v>772.00559999999996</v>
      </c>
      <c r="B98">
        <f>($E$2-LN(Tabela5[[#This Row],[Tempo]]))/$E$3</f>
        <v>-1.5210832924965039</v>
      </c>
      <c r="C98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6.4688272456057447E-2</v>
      </c>
    </row>
    <row r="99" spans="1:3" x14ac:dyDescent="0.35">
      <c r="A99">
        <v>828.17370000000005</v>
      </c>
      <c r="B99">
        <f>($E$2-LN(Tabela5[[#This Row],[Tempo]]))/$E$3</f>
        <v>-1.6655209203119945</v>
      </c>
      <c r="C99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4.83862344945995E-2</v>
      </c>
    </row>
    <row r="100" spans="1:3" x14ac:dyDescent="0.35">
      <c r="A100">
        <v>883.85289999999998</v>
      </c>
      <c r="B100">
        <f>($E$2-LN(Tabela5[[#This Row],[Tempo]]))/$E$3</f>
        <v>-1.7993395168962349</v>
      </c>
      <c r="C100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3.6382488885128642E-2</v>
      </c>
    </row>
    <row r="101" spans="1:3" x14ac:dyDescent="0.35">
      <c r="A101">
        <v>1031.47</v>
      </c>
      <c r="B101">
        <f>($E$2-LN(Tabela5[[#This Row],[Tempo]]))/$E$3</f>
        <v>-2.1169812827762793</v>
      </c>
      <c r="C101" s="33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1.7360897870041123E-2</v>
      </c>
    </row>
    <row r="102" spans="1:3" x14ac:dyDescent="0.35">
      <c r="B102" t="e">
        <f>($E$2-LN(Tabela5[[#This Row],[Tempo]]))/$E$3</f>
        <v>#NUM!</v>
      </c>
      <c r="C102" s="33" t="e">
        <f>IF(Tabela5[[#This Row],[z]]&gt;=0, 1-(((4-PI())*Tabela5[[#This Row],[z]]+SQRT(2*PI())*(PI()-2))/(((4-PI())*SQRT(2*PI())*Tabela5[[#This Row],[z]]^2)+(2*PI()*Tabela5[[#This Row],[z]])+(2*SQRT(2*PI())*(PI()-2))))*EXP(-(Tabela5[[#This Row],[z]]^2)/2), (((4-PI())*ABS(Tabela5[[#This Row],[z]])+SQRT(2*PI())*(PI()-2))/(((4-PI())*SQRT(2*PI())*Tabela5[[#This Row],[z]]^2)+(2*PI()*ABS(Tabela5[[#This Row],[z]]))+(2*SQRT(2*PI())*(PI()-2))))*EXP(-(Tabela5[[#This Row],[z]]^2)/2))</f>
        <v>#NUM!</v>
      </c>
    </row>
  </sheetData>
  <phoneticPr fontId="6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E71C-3EA3-479F-80B6-DE6B37E5802F}">
  <dimension ref="A1:E102"/>
  <sheetViews>
    <sheetView topLeftCell="A4" workbookViewId="0">
      <selection activeCell="K33" sqref="K33"/>
    </sheetView>
  </sheetViews>
  <sheetFormatPr defaultRowHeight="14.5" x14ac:dyDescent="0.35"/>
  <cols>
    <col min="1" max="1" width="9.08984375" bestFit="1" customWidth="1"/>
    <col min="2" max="2" width="15.26953125" customWidth="1"/>
    <col min="3" max="3" width="15.81640625" bestFit="1" customWidth="1"/>
    <col min="5" max="5" width="11.36328125" bestFit="1" customWidth="1"/>
  </cols>
  <sheetData>
    <row r="1" spans="1:5" x14ac:dyDescent="0.35">
      <c r="A1" t="s">
        <v>1</v>
      </c>
      <c r="B1" t="s">
        <v>28</v>
      </c>
      <c r="C1" s="33" t="s">
        <v>0</v>
      </c>
    </row>
    <row r="2" spans="1:5" x14ac:dyDescent="0.35">
      <c r="A2">
        <v>14.6027</v>
      </c>
      <c r="B2">
        <f>($E$2-LN(Tabela6[[#This Row],[Tempo]]))/$E$3</f>
        <v>2.6172006676588908</v>
      </c>
      <c r="C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0.99549426653532591</v>
      </c>
      <c r="D2" s="18" t="s">
        <v>26</v>
      </c>
      <c r="E2" s="8">
        <v>3.1702235877950606</v>
      </c>
    </row>
    <row r="3" spans="1:5" x14ac:dyDescent="0.35">
      <c r="A3">
        <v>16.1995</v>
      </c>
      <c r="B3">
        <f>($E$2-LN(Tabela6[[#This Row],[Tempo]]))/$E$3</f>
        <v>2.061806621736114</v>
      </c>
      <c r="C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0.98013088141482063</v>
      </c>
      <c r="D3" s="18" t="s">
        <v>27</v>
      </c>
      <c r="E3" s="8">
        <v>0.18684740177338935</v>
      </c>
    </row>
    <row r="4" spans="1:5" x14ac:dyDescent="0.35">
      <c r="A4">
        <v>16.657</v>
      </c>
      <c r="B4">
        <f>($E$2-LN(Tabela6[[#This Row],[Tempo]]))/$E$3</f>
        <v>1.9127535941524103</v>
      </c>
      <c r="C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0.97177613873277047</v>
      </c>
    </row>
    <row r="5" spans="1:5" x14ac:dyDescent="0.35">
      <c r="A5">
        <v>16.659199999999998</v>
      </c>
      <c r="B5">
        <f>($E$2-LN(Tabela6[[#This Row],[Tempo]]))/$E$3</f>
        <v>1.9120467719979122</v>
      </c>
      <c r="C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0.97173044781525419</v>
      </c>
    </row>
    <row r="6" spans="1:5" x14ac:dyDescent="0.35">
      <c r="A6">
        <v>17.288699999999999</v>
      </c>
      <c r="B6">
        <f>($E$2-LN(Tabela6[[#This Row],[Tempo]]))/$E$3</f>
        <v>1.7135399039952921</v>
      </c>
      <c r="C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0.95624114740388777</v>
      </c>
    </row>
    <row r="7" spans="1:5" x14ac:dyDescent="0.35">
      <c r="A7">
        <v>17.4968</v>
      </c>
      <c r="B7">
        <f>($E$2-LN(Tabela6[[#This Row],[Tempo]]))/$E$3</f>
        <v>1.6495042360966308</v>
      </c>
      <c r="C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0.94998615783510454</v>
      </c>
    </row>
    <row r="8" spans="1:5" x14ac:dyDescent="0.35">
      <c r="A8">
        <v>17.5944</v>
      </c>
      <c r="B8">
        <f>($E$2-LN(Tabela6[[#This Row],[Tempo]]))/$E$3</f>
        <v>1.6197330834001094</v>
      </c>
      <c r="C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0.9468452817229438</v>
      </c>
    </row>
    <row r="9" spans="1:5" x14ac:dyDescent="0.35">
      <c r="A9">
        <v>18.015499999999999</v>
      </c>
      <c r="B9">
        <f>($E$2-LN(Tabela6[[#This Row],[Tempo]]))/$E$3</f>
        <v>1.4931494186342342</v>
      </c>
      <c r="C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0.93171622393210418</v>
      </c>
    </row>
    <row r="10" spans="1:5" x14ac:dyDescent="0.35">
      <c r="A10">
        <v>18.292300000000001</v>
      </c>
      <c r="B10">
        <f>($E$2-LN(Tabela6[[#This Row],[Tempo]]))/$E$3</f>
        <v>1.4115442816878003</v>
      </c>
      <c r="C1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0.92032963726804118</v>
      </c>
    </row>
    <row r="11" spans="1:5" x14ac:dyDescent="0.35">
      <c r="A11">
        <v>18.538699999999999</v>
      </c>
      <c r="B11">
        <f>($E$2-LN(Tabela6[[#This Row],[Tempo]]))/$E$3</f>
        <v>1.3399337983932738</v>
      </c>
      <c r="C1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0.90920510184761971</v>
      </c>
    </row>
    <row r="12" spans="1:5" x14ac:dyDescent="0.35">
      <c r="A12">
        <v>18.6343</v>
      </c>
      <c r="B12">
        <f>($E$2-LN(Tabela6[[#This Row],[Tempo]]))/$E$3</f>
        <v>1.3124058293888037</v>
      </c>
      <c r="C1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0.90463573790319252</v>
      </c>
    </row>
    <row r="13" spans="1:5" x14ac:dyDescent="0.35">
      <c r="A13">
        <v>18.6723</v>
      </c>
      <c r="B13">
        <f>($E$2-LN(Tabela6[[#This Row],[Tempo]]))/$E$3</f>
        <v>1.3015029549986397</v>
      </c>
      <c r="C1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0.90278002977572513</v>
      </c>
    </row>
    <row r="14" spans="1:5" x14ac:dyDescent="0.35">
      <c r="A14">
        <v>18.799600000000002</v>
      </c>
      <c r="B14">
        <f>($E$2-LN(Tabela6[[#This Row],[Tempo]]))/$E$3</f>
        <v>1.2651393197746779</v>
      </c>
      <c r="C1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0.8963998841865356</v>
      </c>
    </row>
    <row r="15" spans="1:5" x14ac:dyDescent="0.35">
      <c r="A15">
        <v>18.803799999999999</v>
      </c>
      <c r="B15">
        <f>($E$2-LN(Tabela6[[#This Row],[Tempo]]))/$E$3</f>
        <v>1.2639437770242539</v>
      </c>
      <c r="C1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0.89618509364045651</v>
      </c>
    </row>
    <row r="16" spans="1:5" x14ac:dyDescent="0.35">
      <c r="A16">
        <v>18.818100000000001</v>
      </c>
      <c r="B16">
        <f>($E$2-LN(Tabela6[[#This Row],[Tempo]]))/$E$3</f>
        <v>1.2598752400587401</v>
      </c>
      <c r="C1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0.89545172879906187</v>
      </c>
    </row>
    <row r="17" spans="1:3" x14ac:dyDescent="0.35">
      <c r="A17">
        <v>18.9895</v>
      </c>
      <c r="B17">
        <f>($E$2-LN(Tabela6[[#This Row],[Tempo]]))/$E$3</f>
        <v>1.211348891215434</v>
      </c>
      <c r="C1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0.88641482437113506</v>
      </c>
    </row>
    <row r="18" spans="1:3" x14ac:dyDescent="0.35">
      <c r="A18">
        <v>19.606000000000002</v>
      </c>
      <c r="B18">
        <f>($E$2-LN(Tabela6[[#This Row],[Tempo]]))/$E$3</f>
        <v>1.0403566980892895</v>
      </c>
      <c r="C1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0.85019778066945795</v>
      </c>
    </row>
    <row r="19" spans="1:3" x14ac:dyDescent="0.35">
      <c r="A19">
        <v>19.707699999999999</v>
      </c>
      <c r="B19">
        <f>($E$2-LN(Tabela6[[#This Row],[Tempo]]))/$E$3</f>
        <v>1.0126668269300234</v>
      </c>
      <c r="C1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0.84367949971017975</v>
      </c>
    </row>
    <row r="20" spans="1:3" x14ac:dyDescent="0.35">
      <c r="A20">
        <v>19.8857</v>
      </c>
      <c r="B20">
        <f>($E$2-LN(Tabela6[[#This Row],[Tempo]]))/$E$3</f>
        <v>0.96454489401834709</v>
      </c>
      <c r="C2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0.83191457977022232</v>
      </c>
    </row>
    <row r="21" spans="1:3" x14ac:dyDescent="0.35">
      <c r="A21">
        <v>20.3001</v>
      </c>
      <c r="B21">
        <f>($E$2-LN(Tabela6[[#This Row],[Tempo]]))/$E$3</f>
        <v>0.85416106478504739</v>
      </c>
      <c r="C2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0.80284191522245607</v>
      </c>
    </row>
    <row r="22" spans="1:3" x14ac:dyDescent="0.35">
      <c r="A22">
        <v>20.519300000000001</v>
      </c>
      <c r="B22">
        <f>($E$2-LN(Tabela6[[#This Row],[Tempo]]))/$E$3</f>
        <v>0.79668049821383358</v>
      </c>
      <c r="C2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0.78656881262331957</v>
      </c>
    </row>
    <row r="23" spans="1:3" x14ac:dyDescent="0.35">
      <c r="A23">
        <v>20.7392</v>
      </c>
      <c r="B23">
        <f>($E$2-LN(Tabela6[[#This Row],[Tempo]]))/$E$3</f>
        <v>0.73963007904925937</v>
      </c>
      <c r="C2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0.76966952801636124</v>
      </c>
    </row>
    <row r="24" spans="1:3" x14ac:dyDescent="0.35">
      <c r="A24">
        <v>20.837199999999999</v>
      </c>
      <c r="B24">
        <f>($E$2-LN(Tabela6[[#This Row],[Tempo]]))/$E$3</f>
        <v>0.71439974907574144</v>
      </c>
      <c r="C2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0.76196373973112719</v>
      </c>
    </row>
    <row r="25" spans="1:3" x14ac:dyDescent="0.35">
      <c r="A25">
        <v>20.8931</v>
      </c>
      <c r="B25">
        <f>($E$2-LN(Tabela6[[#This Row],[Tempo]]))/$E$3</f>
        <v>0.70006125658082752</v>
      </c>
      <c r="C2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0.75752228682328071</v>
      </c>
    </row>
    <row r="26" spans="1:3" x14ac:dyDescent="0.35">
      <c r="A26">
        <v>21.210999999999999</v>
      </c>
      <c r="B26">
        <f>($E$2-LN(Tabela6[[#This Row],[Tempo]]))/$E$3</f>
        <v>0.61924153967261442</v>
      </c>
      <c r="C2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0.73166846485242842</v>
      </c>
    </row>
    <row r="27" spans="1:3" x14ac:dyDescent="0.35">
      <c r="A27">
        <v>21.4666</v>
      </c>
      <c r="B27">
        <f>($E$2-LN(Tabela6[[#This Row],[Tempo]]))/$E$3</f>
        <v>0.55513401825916886</v>
      </c>
      <c r="C2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0.71021534933388308</v>
      </c>
    </row>
    <row r="28" spans="1:3" x14ac:dyDescent="0.35">
      <c r="A28">
        <v>21.526900000000001</v>
      </c>
      <c r="B28">
        <f>($E$2-LN(Tabela6[[#This Row],[Tempo]]))/$E$3</f>
        <v>0.54012135552764773</v>
      </c>
      <c r="C2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0.70507698705432864</v>
      </c>
    </row>
    <row r="29" spans="1:3" x14ac:dyDescent="0.35">
      <c r="A29">
        <v>21.5307</v>
      </c>
      <c r="B29">
        <f>($E$2-LN(Tabela6[[#This Row],[Tempo]]))/$E$3</f>
        <v>0.53917669294982251</v>
      </c>
      <c r="C2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0.70475225041205958</v>
      </c>
    </row>
    <row r="30" spans="1:3" x14ac:dyDescent="0.35">
      <c r="A30">
        <v>21.531500000000001</v>
      </c>
      <c r="B30">
        <f>($E$2-LN(Tabela6[[#This Row],[Tempo]]))/$E$3</f>
        <v>0.53897783786255238</v>
      </c>
      <c r="C3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0.70468387100293595</v>
      </c>
    </row>
    <row r="31" spans="1:3" x14ac:dyDescent="0.35">
      <c r="A31">
        <v>21.676300000000001</v>
      </c>
      <c r="B31">
        <f>($E$2-LN(Tabela6[[#This Row],[Tempo]]))/$E$3</f>
        <v>0.50310621985024595</v>
      </c>
      <c r="C3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0.6922306711919306</v>
      </c>
    </row>
    <row r="32" spans="1:3" x14ac:dyDescent="0.35">
      <c r="A32">
        <v>21.7089</v>
      </c>
      <c r="B32">
        <f>($E$2-LN(Tabela6[[#This Row],[Tempo]]))/$E$3</f>
        <v>0.49506320240774471</v>
      </c>
      <c r="C3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0.68940682288815469</v>
      </c>
    </row>
    <row r="33" spans="1:3" x14ac:dyDescent="0.35">
      <c r="A33">
        <v>21.828900000000001</v>
      </c>
      <c r="B33">
        <f>($E$2-LN(Tabela6[[#This Row],[Tempo]]))/$E$3</f>
        <v>0.46556070381283426</v>
      </c>
      <c r="C3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0.67895289917363144</v>
      </c>
    </row>
    <row r="34" spans="1:3" x14ac:dyDescent="0.35">
      <c r="A34">
        <v>21.9087</v>
      </c>
      <c r="B34">
        <f>($E$2-LN(Tabela6[[#This Row],[Tempo]]))/$E$3</f>
        <v>0.4460311933407517</v>
      </c>
      <c r="C3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0.67195237473160274</v>
      </c>
    </row>
    <row r="35" spans="1:3" x14ac:dyDescent="0.35">
      <c r="A35">
        <v>21.914899999999999</v>
      </c>
      <c r="B35">
        <f>($E$2-LN(Tabela6[[#This Row],[Tempo]]))/$E$3</f>
        <v>0.44451684225224841</v>
      </c>
      <c r="C3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0.67140693754093972</v>
      </c>
    </row>
    <row r="36" spans="1:3" x14ac:dyDescent="0.35">
      <c r="A36">
        <v>22.0505</v>
      </c>
      <c r="B36">
        <f>($E$2-LN(Tabela6[[#This Row],[Tempo]]))/$E$3</f>
        <v>0.4115032357559128</v>
      </c>
      <c r="C3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0.65942581461451022</v>
      </c>
    </row>
    <row r="37" spans="1:3" x14ac:dyDescent="0.35">
      <c r="A37">
        <v>22.261099999999999</v>
      </c>
      <c r="B37">
        <f>($E$2-LN(Tabela6[[#This Row],[Tempo]]))/$E$3</f>
        <v>0.36063026050264463</v>
      </c>
      <c r="C3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0.6406426540832344</v>
      </c>
    </row>
    <row r="38" spans="1:3" x14ac:dyDescent="0.35">
      <c r="A38">
        <v>22.3216</v>
      </c>
      <c r="B38">
        <f>($E$2-LN(Tabela6[[#This Row],[Tempo]]))/$E$3</f>
        <v>0.34610472315684115</v>
      </c>
      <c r="C3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0.63521287471559895</v>
      </c>
    </row>
    <row r="39" spans="1:3" x14ac:dyDescent="0.35">
      <c r="A39">
        <v>22.359500000000001</v>
      </c>
      <c r="B39">
        <f>($E$2-LN(Tabela6[[#This Row],[Tempo]]))/$E$3</f>
        <v>0.33702529722155511</v>
      </c>
      <c r="C3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0.63180467729429068</v>
      </c>
    </row>
    <row r="40" spans="1:3" x14ac:dyDescent="0.35">
      <c r="A40">
        <v>22.406500000000001</v>
      </c>
      <c r="B40">
        <f>($E$2-LN(Tabela6[[#This Row],[Tempo]]))/$E$3</f>
        <v>0.32578720323937549</v>
      </c>
      <c r="C4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0.62757143610208443</v>
      </c>
    </row>
    <row r="41" spans="1:3" x14ac:dyDescent="0.35">
      <c r="A41">
        <v>22.5001</v>
      </c>
      <c r="B41">
        <f>($E$2-LN(Tabela6[[#This Row],[Tempo]]))/$E$3</f>
        <v>0.30347670672396898</v>
      </c>
      <c r="C4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0.6191207996275887</v>
      </c>
    </row>
    <row r="42" spans="1:3" x14ac:dyDescent="0.35">
      <c r="A42">
        <v>22.605799999999999</v>
      </c>
      <c r="B42">
        <f>($E$2-LN(Tabela6[[#This Row],[Tempo]]))/$E$3</f>
        <v>0.27839336689011313</v>
      </c>
      <c r="C4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0.60954976269947314</v>
      </c>
    </row>
    <row r="43" spans="1:3" x14ac:dyDescent="0.35">
      <c r="A43">
        <v>22.6509</v>
      </c>
      <c r="B43">
        <f>($E$2-LN(Tabela6[[#This Row],[Tempo]]))/$E$3</f>
        <v>0.26772650345316368</v>
      </c>
      <c r="C4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0.60545836513789131</v>
      </c>
    </row>
    <row r="44" spans="1:3" x14ac:dyDescent="0.35">
      <c r="A44">
        <v>22.816400000000002</v>
      </c>
      <c r="B44">
        <f>($E$2-LN(Tabela6[[#This Row],[Tempo]]))/$E$3</f>
        <v>0.2287642844072795</v>
      </c>
      <c r="C4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0.59041455898313244</v>
      </c>
    </row>
    <row r="45" spans="1:3" x14ac:dyDescent="0.35">
      <c r="A45">
        <v>22.8415</v>
      </c>
      <c r="B45">
        <f>($E$2-LN(Tabela6[[#This Row],[Tempo]]))/$E$3</f>
        <v>0.22287990366880284</v>
      </c>
      <c r="C4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0.58812982319717777</v>
      </c>
    </row>
    <row r="46" spans="1:3" x14ac:dyDescent="0.35">
      <c r="A46">
        <v>22.855699999999999</v>
      </c>
      <c r="B46">
        <f>($E$2-LN(Tabela6[[#This Row],[Tempo]]))/$E$3</f>
        <v>0.21955375466642535</v>
      </c>
      <c r="C4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0.58683698898022563</v>
      </c>
    </row>
    <row r="47" spans="1:3" x14ac:dyDescent="0.35">
      <c r="A47">
        <v>22.880800000000001</v>
      </c>
      <c r="B47">
        <f>($E$2-LN(Tabela6[[#This Row],[Tempo]]))/$E$3</f>
        <v>0.21367948647304685</v>
      </c>
      <c r="C4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0.58455133534484438</v>
      </c>
    </row>
    <row r="48" spans="1:3" x14ac:dyDescent="0.35">
      <c r="A48">
        <v>23.226400000000002</v>
      </c>
      <c r="B48">
        <f>($E$2-LN(Tabela6[[#This Row],[Tempo]]))/$E$3</f>
        <v>0.1334459286264422</v>
      </c>
      <c r="C4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0.55306486025850266</v>
      </c>
    </row>
    <row r="49" spans="1:3" x14ac:dyDescent="0.35">
      <c r="A49">
        <v>23.286899999999999</v>
      </c>
      <c r="B49">
        <f>($E$2-LN(Tabela6[[#This Row],[Tempo]]))/$E$3</f>
        <v>0.11952329485260929</v>
      </c>
      <c r="C4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0.54755863453962794</v>
      </c>
    </row>
    <row r="50" spans="1:3" x14ac:dyDescent="0.35">
      <c r="A50">
        <v>23.678699999999999</v>
      </c>
      <c r="B50">
        <f>($E$2-LN(Tabela6[[#This Row],[Tempo]]))/$E$3</f>
        <v>3.0226151829179572E-2</v>
      </c>
      <c r="C5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0.51205643519168664</v>
      </c>
    </row>
    <row r="51" spans="1:3" x14ac:dyDescent="0.35">
      <c r="A51">
        <v>23.75</v>
      </c>
      <c r="B51">
        <f>($E$2-LN(Tabela6[[#This Row],[Tempo]]))/$E$3</f>
        <v>1.413483564311655E-2</v>
      </c>
      <c r="C5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0.50563877255987921</v>
      </c>
    </row>
    <row r="52" spans="1:3" x14ac:dyDescent="0.35">
      <c r="A52">
        <v>23.862300000000001</v>
      </c>
      <c r="B52">
        <f>($E$2-LN(Tabela6[[#This Row],[Tempo]]))/$E$3</f>
        <v>-1.111184769219844E-2</v>
      </c>
      <c r="C5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0.49556711673613785</v>
      </c>
    </row>
    <row r="53" spans="1:3" x14ac:dyDescent="0.35">
      <c r="A53">
        <v>23.870200000000001</v>
      </c>
      <c r="B53">
        <f>($E$2-LN(Tabela6[[#This Row],[Tempo]]))/$E$3</f>
        <v>-1.2883407613837059E-2</v>
      </c>
      <c r="C5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0.49486042381559209</v>
      </c>
    </row>
    <row r="54" spans="1:3" x14ac:dyDescent="0.35">
      <c r="A54">
        <v>23.955200000000001</v>
      </c>
      <c r="B54">
        <f>($E$2-LN(Tabela6[[#This Row],[Tempo]]))/$E$3</f>
        <v>-3.1907489407253929E-2</v>
      </c>
      <c r="C5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0.48727316943111837</v>
      </c>
    </row>
    <row r="55" spans="1:3" x14ac:dyDescent="0.35">
      <c r="A55">
        <v>24.039300000000001</v>
      </c>
      <c r="B55">
        <f>($E$2-LN(Tabela6[[#This Row],[Tempo]]))/$E$3</f>
        <v>-5.0663820966837074E-2</v>
      </c>
      <c r="C5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0.47979768562337988</v>
      </c>
    </row>
    <row r="56" spans="1:3" x14ac:dyDescent="0.35">
      <c r="A56">
        <v>24.061900000000001</v>
      </c>
      <c r="B56">
        <f>($E$2-LN(Tabela6[[#This Row],[Tempo]]))/$E$3</f>
        <v>-5.5692981429542161E-2</v>
      </c>
      <c r="C5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0.47779448518827311</v>
      </c>
    </row>
    <row r="57" spans="1:3" x14ac:dyDescent="0.35">
      <c r="A57">
        <v>24.165299999999998</v>
      </c>
      <c r="B57">
        <f>($E$2-LN(Tabela6[[#This Row],[Tempo]]))/$E$3</f>
        <v>-7.8642421220460765E-2</v>
      </c>
      <c r="C5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0.46866196349756739</v>
      </c>
    </row>
    <row r="58" spans="1:3" x14ac:dyDescent="0.35">
      <c r="A58">
        <v>24.173400000000001</v>
      </c>
      <c r="B58">
        <f>($E$2-LN(Tabela6[[#This Row],[Tempo]]))/$E$3</f>
        <v>-8.0436051756317323E-2</v>
      </c>
      <c r="C5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0.46794889381808219</v>
      </c>
    </row>
    <row r="59" spans="1:3" x14ac:dyDescent="0.35">
      <c r="A59">
        <v>24.4696</v>
      </c>
      <c r="B59">
        <f>($E$2-LN(Tabela6[[#This Row],[Tempo]]))/$E$3</f>
        <v>-0.14561584865985622</v>
      </c>
      <c r="C5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0.44213098426685465</v>
      </c>
    </row>
    <row r="60" spans="1:3" x14ac:dyDescent="0.35">
      <c r="A60">
        <v>24.701499999999999</v>
      </c>
      <c r="B60">
        <f>($E$2-LN(Tabela6[[#This Row],[Tempo]]))/$E$3</f>
        <v>-0.19609789802874833</v>
      </c>
      <c r="C6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0.42230719598966038</v>
      </c>
    </row>
    <row r="61" spans="1:3" x14ac:dyDescent="0.35">
      <c r="A61">
        <v>24.710899999999999</v>
      </c>
      <c r="B61">
        <f>($E$2-LN(Tabela6[[#This Row],[Tempo]]))/$E$3</f>
        <v>-0.19813416559083738</v>
      </c>
      <c r="C6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0.42151154357575071</v>
      </c>
    </row>
    <row r="62" spans="1:3" x14ac:dyDescent="0.35">
      <c r="A62">
        <v>24.919</v>
      </c>
      <c r="B62">
        <f>($E$2-LN(Tabela6[[#This Row],[Tempo]]))/$E$3</f>
        <v>-0.24301636778006033</v>
      </c>
      <c r="C6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0.40406515837854345</v>
      </c>
    </row>
    <row r="63" spans="1:3" x14ac:dyDescent="0.35">
      <c r="A63">
        <v>25.0212</v>
      </c>
      <c r="B63">
        <f>($E$2-LN(Tabela6[[#This Row],[Tempo]]))/$E$3</f>
        <v>-0.26492141316640666</v>
      </c>
      <c r="C6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0.39561958166551014</v>
      </c>
    </row>
    <row r="64" spans="1:3" x14ac:dyDescent="0.35">
      <c r="A64">
        <v>25.466799999999999</v>
      </c>
      <c r="B64">
        <f>($E$2-LN(Tabela6[[#This Row],[Tempo]]))/$E$3</f>
        <v>-0.35939517842017393</v>
      </c>
      <c r="C6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0.359817922186425</v>
      </c>
    </row>
    <row r="65" spans="1:3" x14ac:dyDescent="0.35">
      <c r="A65">
        <v>25.504999999999999</v>
      </c>
      <c r="B65">
        <f>($E$2-LN(Tabela6[[#This Row],[Tempo]]))/$E$3</f>
        <v>-0.36741706295220528</v>
      </c>
      <c r="C6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0.35683020731023851</v>
      </c>
    </row>
    <row r="66" spans="1:3" x14ac:dyDescent="0.35">
      <c r="A66">
        <v>25.743600000000001</v>
      </c>
      <c r="B66">
        <f>($E$2-LN(Tabela6[[#This Row],[Tempo]]))/$E$3</f>
        <v>-0.41725206769434325</v>
      </c>
      <c r="C6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0.33847564275283237</v>
      </c>
    </row>
    <row r="67" spans="1:3" x14ac:dyDescent="0.35">
      <c r="A67">
        <v>25.866599999999998</v>
      </c>
      <c r="B67">
        <f>($E$2-LN(Tabela6[[#This Row],[Tempo]]))/$E$3</f>
        <v>-0.44276223601668402</v>
      </c>
      <c r="C6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0.32922549730970746</v>
      </c>
    </row>
    <row r="68" spans="1:3" x14ac:dyDescent="0.35">
      <c r="A68">
        <v>25.901599999999998</v>
      </c>
      <c r="B68">
        <f>($E$2-LN(Tabela6[[#This Row],[Tempo]]))/$E$3</f>
        <v>-0.44999905947913321</v>
      </c>
      <c r="C6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0.32662024648454296</v>
      </c>
    </row>
    <row r="69" spans="1:3" x14ac:dyDescent="0.35">
      <c r="A69">
        <v>25.9514</v>
      </c>
      <c r="B69">
        <f>($E$2-LN(Tabela6[[#This Row],[Tempo]]))/$E$3</f>
        <v>-0.46027918744922408</v>
      </c>
      <c r="C6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0.32293410219985325</v>
      </c>
    </row>
    <row r="70" spans="1:3" x14ac:dyDescent="0.35">
      <c r="A70">
        <v>26.091699999999999</v>
      </c>
      <c r="B70">
        <f>($E$2-LN(Tabela6[[#This Row],[Tempo]]))/$E$3</f>
        <v>-0.48913534482238069</v>
      </c>
      <c r="C7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0.31268165334144943</v>
      </c>
    </row>
    <row r="71" spans="1:3" x14ac:dyDescent="0.35">
      <c r="A71">
        <v>26.180800000000001</v>
      </c>
      <c r="B71">
        <f>($E$2-LN(Tabela6[[#This Row],[Tempo]]))/$E$3</f>
        <v>-0.50738050942989021</v>
      </c>
      <c r="C7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0.30627330176297968</v>
      </c>
    </row>
    <row r="72" spans="1:3" x14ac:dyDescent="0.35">
      <c r="A72">
        <v>26.380500000000001</v>
      </c>
      <c r="B72">
        <f>($E$2-LN(Tabela6[[#This Row],[Tempo]]))/$E$3</f>
        <v>-0.54804890030809483</v>
      </c>
      <c r="C7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0.29220439699742629</v>
      </c>
    </row>
    <row r="73" spans="1:3" x14ac:dyDescent="0.35">
      <c r="A73">
        <v>26.888100000000001</v>
      </c>
      <c r="B73">
        <f>($E$2-LN(Tabela6[[#This Row],[Tempo]]))/$E$3</f>
        <v>-0.65005036516026693</v>
      </c>
      <c r="C7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0.25831457443574829</v>
      </c>
    </row>
    <row r="74" spans="1:3" x14ac:dyDescent="0.35">
      <c r="A74">
        <v>26.947800000000001</v>
      </c>
      <c r="B74">
        <f>($E$2-LN(Tabela6[[#This Row],[Tempo]]))/$E$3</f>
        <v>-0.66192022153327001</v>
      </c>
      <c r="C7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0.25450778944275687</v>
      </c>
    </row>
    <row r="75" spans="1:3" x14ac:dyDescent="0.35">
      <c r="A75">
        <v>26.9496</v>
      </c>
      <c r="B75">
        <f>($E$2-LN(Tabela6[[#This Row],[Tempo]]))/$E$3</f>
        <v>-0.66227769813636417</v>
      </c>
      <c r="C7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0.25439360158500857</v>
      </c>
    </row>
    <row r="76" spans="1:3" x14ac:dyDescent="0.35">
      <c r="A76">
        <v>27.028199999999998</v>
      </c>
      <c r="B76">
        <f>($E$2-LN(Tabela6[[#This Row],[Tempo]]))/$E$3</f>
        <v>-0.67786426998171601</v>
      </c>
      <c r="C7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0.24944109176391396</v>
      </c>
    </row>
    <row r="77" spans="1:3" x14ac:dyDescent="0.35">
      <c r="A77">
        <v>27.198599999999999</v>
      </c>
      <c r="B77">
        <f>($E$2-LN(Tabela6[[#This Row],[Tempo]]))/$E$3</f>
        <v>-0.71149993166740833</v>
      </c>
      <c r="C7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0.23893088452008529</v>
      </c>
    </row>
    <row r="78" spans="1:3" x14ac:dyDescent="0.35">
      <c r="A78">
        <v>27.312899999999999</v>
      </c>
      <c r="B78">
        <f>($E$2-LN(Tabela6[[#This Row],[Tempo]]))/$E$3</f>
        <v>-0.73394400436325369</v>
      </c>
      <c r="C7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0.23205482264565422</v>
      </c>
    </row>
    <row r="79" spans="1:3" x14ac:dyDescent="0.35">
      <c r="A79">
        <v>27.389299999999999</v>
      </c>
      <c r="B79">
        <f>($E$2-LN(Tabela6[[#This Row],[Tempo]]))/$E$3</f>
        <v>-0.74889368036548232</v>
      </c>
      <c r="C7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0.22753661288432844</v>
      </c>
    </row>
    <row r="80" spans="1:3" x14ac:dyDescent="0.35">
      <c r="A80">
        <v>27.415600000000001</v>
      </c>
      <c r="B80">
        <f>($E$2-LN(Tabela6[[#This Row],[Tempo]]))/$E$3</f>
        <v>-0.7540303226761329</v>
      </c>
      <c r="C8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0.22599568687165866</v>
      </c>
    </row>
    <row r="81" spans="1:3" x14ac:dyDescent="0.35">
      <c r="A81">
        <v>27.5854</v>
      </c>
      <c r="B81">
        <f>($E$2-LN(Tabela6[[#This Row],[Tempo]]))/$E$3</f>
        <v>-0.78707575306272037</v>
      </c>
      <c r="C8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0.2162246390118322</v>
      </c>
    </row>
    <row r="82" spans="1:3" x14ac:dyDescent="0.35">
      <c r="A82">
        <v>27.801100000000002</v>
      </c>
      <c r="B82">
        <f>($E$2-LN(Tabela6[[#This Row],[Tempo]]))/$E$3</f>
        <v>-0.82876186125325202</v>
      </c>
      <c r="C8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0.20425428352971861</v>
      </c>
    </row>
    <row r="83" spans="1:3" x14ac:dyDescent="0.35">
      <c r="A83">
        <v>27.855699999999999</v>
      </c>
      <c r="B83">
        <f>($E$2-LN(Tabela6[[#This Row],[Tempo]]))/$E$3</f>
        <v>-0.83926254265158662</v>
      </c>
      <c r="C8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0.20130229957838555</v>
      </c>
    </row>
    <row r="84" spans="1:3" x14ac:dyDescent="0.35">
      <c r="A84">
        <v>28.064599999999999</v>
      </c>
      <c r="B84">
        <f>($E$2-LN(Tabela6[[#This Row],[Tempo]]))/$E$3</f>
        <v>-0.87924908941977697</v>
      </c>
      <c r="C8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0.19029708690700442</v>
      </c>
    </row>
    <row r="85" spans="1:3" x14ac:dyDescent="0.35">
      <c r="A85">
        <v>28.207000000000001</v>
      </c>
      <c r="B85">
        <f>($E$2-LN(Tabela6[[#This Row],[Tempo]]))/$E$3</f>
        <v>-0.90633631877597798</v>
      </c>
      <c r="C8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0.18305600319902091</v>
      </c>
    </row>
    <row r="86" spans="1:3" x14ac:dyDescent="0.35">
      <c r="A86">
        <v>28.2254</v>
      </c>
      <c r="B86">
        <f>($E$2-LN(Tabela6[[#This Row],[Tempo]]))/$E$3</f>
        <v>-0.90982637360889251</v>
      </c>
      <c r="C8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0.18213566536321596</v>
      </c>
    </row>
    <row r="87" spans="1:3" x14ac:dyDescent="0.35">
      <c r="A87">
        <v>28.3841</v>
      </c>
      <c r="B87">
        <f>($E$2-LN(Tabela6[[#This Row],[Tempo]]))/$E$3</f>
        <v>-0.93983400235070325</v>
      </c>
      <c r="C8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0.17434208760278949</v>
      </c>
    </row>
    <row r="88" spans="1:3" x14ac:dyDescent="0.35">
      <c r="A88">
        <v>28.478300000000001</v>
      </c>
      <c r="B88">
        <f>($E$2-LN(Tabela6[[#This Row],[Tempo]]))/$E$3</f>
        <v>-0.95756646470735529</v>
      </c>
      <c r="C8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0.16983753657409656</v>
      </c>
    </row>
    <row r="89" spans="1:3" x14ac:dyDescent="0.35">
      <c r="A89">
        <v>28.5428</v>
      </c>
      <c r="B89">
        <f>($E$2-LN(Tabela6[[#This Row],[Tempo]]))/$E$3</f>
        <v>-0.96967432054426805</v>
      </c>
      <c r="C8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0.16680497142749398</v>
      </c>
    </row>
    <row r="90" spans="1:3" x14ac:dyDescent="0.35">
      <c r="A90">
        <v>28.770399999999999</v>
      </c>
      <c r="B90">
        <f>($E$2-LN(Tabela6[[#This Row],[Tempo]]))/$E$3</f>
        <v>-1.0121815516208432</v>
      </c>
      <c r="C9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0.15643637270493435</v>
      </c>
    </row>
    <row r="91" spans="1:3" x14ac:dyDescent="0.35">
      <c r="A91">
        <v>29.3126</v>
      </c>
      <c r="B91">
        <f>($E$2-LN(Tabela6[[#This Row],[Tempo]]))/$E$3</f>
        <v>-1.1121046797936864</v>
      </c>
      <c r="C9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0.13376459070884017</v>
      </c>
    </row>
    <row r="92" spans="1:3" x14ac:dyDescent="0.35">
      <c r="A92">
        <v>29.362200000000001</v>
      </c>
      <c r="B92">
        <f>($E$2-LN(Tabela6[[#This Row],[Tempo]]))/$E$3</f>
        <v>-1.1211531069518179</v>
      </c>
      <c r="C92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0.13182893232644613</v>
      </c>
    </row>
    <row r="93" spans="1:3" x14ac:dyDescent="0.35">
      <c r="A93">
        <v>29.6309</v>
      </c>
      <c r="B93">
        <f>($E$2-LN(Tabela6[[#This Row],[Tempo]]))/$E$3</f>
        <v>-1.1699073461805176</v>
      </c>
      <c r="C93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0.12173148783901053</v>
      </c>
    </row>
    <row r="94" spans="1:3" x14ac:dyDescent="0.35">
      <c r="A94">
        <v>29.948</v>
      </c>
      <c r="B94">
        <f>($E$2-LN(Tabela6[[#This Row],[Tempo]]))/$E$3</f>
        <v>-1.226877946375738</v>
      </c>
      <c r="C94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0.11063474464287328</v>
      </c>
    </row>
    <row r="95" spans="1:3" x14ac:dyDescent="0.35">
      <c r="A95">
        <v>30.608799999999999</v>
      </c>
      <c r="B95">
        <f>($E$2-LN(Tabela6[[#This Row],[Tempo]]))/$E$3</f>
        <v>-1.3436845208231651</v>
      </c>
      <c r="C95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9.0185079664344733E-2</v>
      </c>
    </row>
    <row r="96" spans="1:3" x14ac:dyDescent="0.35">
      <c r="A96">
        <v>31.251200000000001</v>
      </c>
      <c r="B96">
        <f>($E$2-LN(Tabela6[[#This Row],[Tempo]]))/$E$3</f>
        <v>-1.4548459602332202</v>
      </c>
      <c r="C96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7.3461754227502979E-2</v>
      </c>
    </row>
    <row r="97" spans="1:3" x14ac:dyDescent="0.35">
      <c r="A97">
        <v>31.846</v>
      </c>
      <c r="B97">
        <f>($E$2-LN(Tabela6[[#This Row],[Tempo]]))/$E$3</f>
        <v>-1.5557518856576005</v>
      </c>
      <c r="C97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6.0432044771801641E-2</v>
      </c>
    </row>
    <row r="98" spans="1:3" x14ac:dyDescent="0.35">
      <c r="A98">
        <v>32.269100000000002</v>
      </c>
      <c r="B98">
        <f>($E$2-LN(Tabela6[[#This Row],[Tempo]]))/$E$3</f>
        <v>-1.626388835567671</v>
      </c>
      <c r="C98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5.2439317808410824E-2</v>
      </c>
    </row>
    <row r="99" spans="1:3" x14ac:dyDescent="0.35">
      <c r="A99">
        <v>32.846600000000002</v>
      </c>
      <c r="B99">
        <f>($E$2-LN(Tabela6[[#This Row],[Tempo]]))/$E$3</f>
        <v>-1.7213225764199847</v>
      </c>
      <c r="C99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4.3043592392641022E-2</v>
      </c>
    </row>
    <row r="100" spans="1:3" x14ac:dyDescent="0.35">
      <c r="A100">
        <v>34.361199999999997</v>
      </c>
      <c r="B100">
        <f>($E$2-LN(Tabela6[[#This Row],[Tempo]]))/$E$3</f>
        <v>-1.9625878099526057</v>
      </c>
      <c r="C100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2.515378247949307E-2</v>
      </c>
    </row>
    <row r="101" spans="1:3" x14ac:dyDescent="0.35">
      <c r="A101">
        <v>35.655099999999997</v>
      </c>
      <c r="B101">
        <f>($E$2-LN(Tabela6[[#This Row],[Tempo]]))/$E$3</f>
        <v>-2.1604186223931308</v>
      </c>
      <c r="C101" s="33">
        <f>IF(Tabela6[[#This Row],[z]]&gt;=0, 1-(((4-PI())*Tabela6[[#This Row],[z]]+SQRT(2*PI())*(PI()-2))/(((4-PI())*SQRT(2*PI())*Tabela6[[#This Row],[z]]^2)+(2*PI()*Tabela6[[#This Row],[z]])+(2*SQRT(2*PI())*(PI()-2))))*EXP(-(Tabela6[[#This Row],[z]]^2)/2), (((4-PI())*ABS(Tabela6[[#This Row],[z]])+SQRT(2*PI())*(PI()-2))/(((4-PI())*SQRT(2*PI())*Tabela6[[#This Row],[z]]^2)+(2*PI()*ABS(Tabela6[[#This Row],[z]]))+(2*SQRT(2*PI())*(PI()-2))))*EXP(-(Tabela6[[#This Row],[z]]^2)/2))</f>
        <v>1.5581183596643707E-2</v>
      </c>
    </row>
    <row r="102" spans="1:3" x14ac:dyDescent="0.35">
      <c r="C102" s="5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BCAC-F3B4-4BCF-B387-EB3A4E785569}">
  <dimension ref="A1:E102"/>
  <sheetViews>
    <sheetView workbookViewId="0">
      <selection activeCell="N30" sqref="N30"/>
    </sheetView>
  </sheetViews>
  <sheetFormatPr defaultRowHeight="14.5" x14ac:dyDescent="0.35"/>
  <cols>
    <col min="2" max="2" width="15.26953125" customWidth="1"/>
  </cols>
  <sheetData>
    <row r="1" spans="1:5" x14ac:dyDescent="0.35">
      <c r="A1" t="s">
        <v>1</v>
      </c>
      <c r="B1" t="s">
        <v>28</v>
      </c>
      <c r="C1" s="33" t="s">
        <v>0</v>
      </c>
    </row>
    <row r="2" spans="1:5" x14ac:dyDescent="0.35">
      <c r="A2">
        <v>214.8852</v>
      </c>
      <c r="B2">
        <f>($E$2-LN(Tabela7[[#This Row],[Tempo]]))/$E$3</f>
        <v>2.9675920026390723</v>
      </c>
      <c r="C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0.998472037770606</v>
      </c>
      <c r="D2" s="18" t="s">
        <v>26</v>
      </c>
      <c r="E2">
        <v>5.5465860925471304</v>
      </c>
    </row>
    <row r="3" spans="1:5" x14ac:dyDescent="0.35">
      <c r="A3">
        <v>226.2123</v>
      </c>
      <c r="B3">
        <f>($E$2-LN(Tabela7[[#This Row],[Tempo]]))/$E$3</f>
        <v>2.1037923925784283</v>
      </c>
      <c r="C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0.98206551480443993</v>
      </c>
      <c r="D3" s="18" t="s">
        <v>27</v>
      </c>
      <c r="E3" s="24">
        <v>5.9469819420871602E-2</v>
      </c>
    </row>
    <row r="4" spans="1:5" x14ac:dyDescent="0.35">
      <c r="A4">
        <v>226.50819999999999</v>
      </c>
      <c r="B4">
        <f>($E$2-LN(Tabela7[[#This Row],[Tempo]]))/$E$3</f>
        <v>2.0818113522873576</v>
      </c>
      <c r="C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0.98107368079695734</v>
      </c>
    </row>
    <row r="5" spans="1:5" x14ac:dyDescent="0.35">
      <c r="A5">
        <v>232.80719999999999</v>
      </c>
      <c r="B5">
        <f>($E$2-LN(Tabela7[[#This Row],[Tempo]]))/$E$3</f>
        <v>1.6205774672190734</v>
      </c>
      <c r="C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0.94693646673555021</v>
      </c>
    </row>
    <row r="6" spans="1:5" x14ac:dyDescent="0.35">
      <c r="A6">
        <v>234.2604</v>
      </c>
      <c r="B6">
        <f>($E$2-LN(Tabela7[[#This Row],[Tempo]]))/$E$3</f>
        <v>1.5159416369564007</v>
      </c>
      <c r="C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0.93466117606406363</v>
      </c>
    </row>
    <row r="7" spans="1:5" x14ac:dyDescent="0.35">
      <c r="A7">
        <v>234.4452</v>
      </c>
      <c r="B7">
        <f>($E$2-LN(Tabela7[[#This Row],[Tempo]]))/$E$3</f>
        <v>1.5026818904086383</v>
      </c>
      <c r="C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0.93296010393606144</v>
      </c>
    </row>
    <row r="8" spans="1:5" x14ac:dyDescent="0.35">
      <c r="A8">
        <v>235.5581</v>
      </c>
      <c r="B8">
        <f>($E$2-LN(Tabela7[[#This Row],[Tempo]]))/$E$3</f>
        <v>1.4230495604824025</v>
      </c>
      <c r="C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0.92201665171441249</v>
      </c>
    </row>
    <row r="9" spans="1:5" x14ac:dyDescent="0.35">
      <c r="A9">
        <v>235.6893</v>
      </c>
      <c r="B9">
        <f>($E$2-LN(Tabela7[[#This Row],[Tempo]]))/$E$3</f>
        <v>1.4136864908103084</v>
      </c>
      <c r="C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0.9206458181967514</v>
      </c>
    </row>
    <row r="10" spans="1:5" x14ac:dyDescent="0.35">
      <c r="A10">
        <v>236.88749999999999</v>
      </c>
      <c r="B10">
        <f>($E$2-LN(Tabela7[[#This Row],[Tempo]]))/$E$3</f>
        <v>1.3284174800516728</v>
      </c>
      <c r="C1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0.90731362832957496</v>
      </c>
    </row>
    <row r="11" spans="1:5" x14ac:dyDescent="0.35">
      <c r="A11">
        <v>237.80199999999999</v>
      </c>
      <c r="B11">
        <f>($E$2-LN(Tabela7[[#This Row],[Tempo]]))/$E$3</f>
        <v>1.2636274774110152</v>
      </c>
      <c r="C1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0.89612821356490979</v>
      </c>
    </row>
    <row r="12" spans="1:5" x14ac:dyDescent="0.35">
      <c r="A12">
        <v>237.90280000000001</v>
      </c>
      <c r="B12">
        <f>($E$2-LN(Tabela7[[#This Row],[Tempo]]))/$E$3</f>
        <v>1.2565013040907478</v>
      </c>
      <c r="C1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0.89484073398145092</v>
      </c>
    </row>
    <row r="13" spans="1:5" x14ac:dyDescent="0.35">
      <c r="A13">
        <v>238.71010000000001</v>
      </c>
      <c r="B13">
        <f>($E$2-LN(Tabela7[[#This Row],[Tempo]]))/$E$3</f>
        <v>1.1995369796982458</v>
      </c>
      <c r="C1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0.88413346404802806</v>
      </c>
    </row>
    <row r="14" spans="1:5" x14ac:dyDescent="0.35">
      <c r="A14">
        <v>239.12899999999999</v>
      </c>
      <c r="B14">
        <f>($E$2-LN(Tabela7[[#This Row],[Tempo]]))/$E$3</f>
        <v>1.1700546252087134</v>
      </c>
      <c r="C1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0.87829817026500834</v>
      </c>
    </row>
    <row r="15" spans="1:5" x14ac:dyDescent="0.35">
      <c r="A15">
        <v>239.59690000000001</v>
      </c>
      <c r="B15">
        <f>($E$2-LN(Tabela7[[#This Row],[Tempo]]))/$E$3</f>
        <v>1.137184630430955</v>
      </c>
      <c r="C1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0.87155304910160802</v>
      </c>
    </row>
    <row r="16" spans="1:5" x14ac:dyDescent="0.35">
      <c r="A16">
        <v>240.4718</v>
      </c>
      <c r="B16">
        <f>($E$2-LN(Tabela7[[#This Row],[Tempo]]))/$E$3</f>
        <v>1.0758947347854801</v>
      </c>
      <c r="C1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0.8582948407737373</v>
      </c>
    </row>
    <row r="17" spans="1:3" x14ac:dyDescent="0.35">
      <c r="A17">
        <v>241.44149999999999</v>
      </c>
      <c r="B17">
        <f>($E$2-LN(Tabela7[[#This Row],[Tempo]]))/$E$3</f>
        <v>1.0082237579855367</v>
      </c>
      <c r="C1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0.84261649241454062</v>
      </c>
    </row>
    <row r="18" spans="1:3" x14ac:dyDescent="0.35">
      <c r="A18">
        <v>241.49860000000001</v>
      </c>
      <c r="B18">
        <f>($E$2-LN(Tabela7[[#This Row],[Tempo]]))/$E$3</f>
        <v>1.004247484763598</v>
      </c>
      <c r="C1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0.84166115653524287</v>
      </c>
    </row>
    <row r="19" spans="1:3" x14ac:dyDescent="0.35">
      <c r="A19">
        <v>241.56620000000001</v>
      </c>
      <c r="B19">
        <f>($E$2-LN(Tabela7[[#This Row],[Tempo]]))/$E$3</f>
        <v>0.99954123813718787</v>
      </c>
      <c r="C1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0.84052554354084896</v>
      </c>
    </row>
    <row r="20" spans="1:3" x14ac:dyDescent="0.35">
      <c r="A20">
        <v>241.80619999999999</v>
      </c>
      <c r="B20">
        <f>($E$2-LN(Tabela7[[#This Row],[Tempo]]))/$E$3</f>
        <v>0.98284330167326739</v>
      </c>
      <c r="C2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0.83645354131422267</v>
      </c>
    </row>
    <row r="21" spans="1:3" x14ac:dyDescent="0.35">
      <c r="A21">
        <v>242.2062</v>
      </c>
      <c r="B21">
        <f>($E$2-LN(Tabela7[[#This Row],[Tempo]]))/$E$3</f>
        <v>0.95505020244046968</v>
      </c>
      <c r="C2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0.82952783431682431</v>
      </c>
    </row>
    <row r="22" spans="1:3" x14ac:dyDescent="0.35">
      <c r="A22">
        <v>242.55619999999999</v>
      </c>
      <c r="B22">
        <f>($E$2-LN(Tabela7[[#This Row],[Tempo]]))/$E$3</f>
        <v>0.93076886699485961</v>
      </c>
      <c r="C2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0.82332612105630643</v>
      </c>
    </row>
    <row r="23" spans="1:3" x14ac:dyDescent="0.35">
      <c r="A23">
        <v>242.9811</v>
      </c>
      <c r="B23">
        <f>($E$2-LN(Tabela7[[#This Row],[Tempo]]))/$E$3</f>
        <v>0.90133836845645465</v>
      </c>
      <c r="C2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0.8156209898632335</v>
      </c>
    </row>
    <row r="24" spans="1:3" x14ac:dyDescent="0.35">
      <c r="A24">
        <v>243.98660000000001</v>
      </c>
      <c r="B24">
        <f>($E$2-LN(Tabela7[[#This Row],[Tempo]]))/$E$3</f>
        <v>0.83189737713249112</v>
      </c>
      <c r="C2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0.79662986694124227</v>
      </c>
    </row>
    <row r="25" spans="1:3" x14ac:dyDescent="0.35">
      <c r="A25">
        <v>244.14660000000001</v>
      </c>
      <c r="B25">
        <f>($E$2-LN(Tabela7[[#This Row],[Tempo]]))/$E$3</f>
        <v>0.82087399082535539</v>
      </c>
      <c r="C2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0.79351141555085436</v>
      </c>
    </row>
    <row r="26" spans="1:3" x14ac:dyDescent="0.35">
      <c r="A26">
        <v>244.3381</v>
      </c>
      <c r="B26">
        <f>($E$2-LN(Tabela7[[#This Row],[Tempo]]))/$E$3</f>
        <v>0.80768986889439165</v>
      </c>
      <c r="C2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0.78974478829896555</v>
      </c>
    </row>
    <row r="27" spans="1:3" x14ac:dyDescent="0.35">
      <c r="A27">
        <v>245.1738</v>
      </c>
      <c r="B27">
        <f>($E$2-LN(Tabela7[[#This Row],[Tempo]]))/$E$3</f>
        <v>0.75027545363965709</v>
      </c>
      <c r="C2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0.77287848181923224</v>
      </c>
    </row>
    <row r="28" spans="1:3" x14ac:dyDescent="0.35">
      <c r="A28">
        <v>245.42850000000001</v>
      </c>
      <c r="B28">
        <f>($E$2-LN(Tabela7[[#This Row],[Tempo]]))/$E$3</f>
        <v>0.73281591433719406</v>
      </c>
      <c r="C2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0.76760222197593053</v>
      </c>
    </row>
    <row r="29" spans="1:3" x14ac:dyDescent="0.35">
      <c r="A29">
        <v>246.27010000000001</v>
      </c>
      <c r="B29">
        <f>($E$2-LN(Tabela7[[#This Row],[Tempo]]))/$E$3</f>
        <v>0.67525329405058465</v>
      </c>
      <c r="C2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0.74973288529033355</v>
      </c>
    </row>
    <row r="30" spans="1:3" x14ac:dyDescent="0.35">
      <c r="A30">
        <v>246.74260000000001</v>
      </c>
      <c r="B30">
        <f>($E$2-LN(Tabela7[[#This Row],[Tempo]]))/$E$3</f>
        <v>0.64302203914395917</v>
      </c>
      <c r="C3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0.73941750976866127</v>
      </c>
    </row>
    <row r="31" spans="1:3" x14ac:dyDescent="0.35">
      <c r="A31">
        <v>246.82660000000001</v>
      </c>
      <c r="B31">
        <f>($E$2-LN(Tabela7[[#This Row],[Tempo]]))/$E$3</f>
        <v>0.63729850055323034</v>
      </c>
      <c r="C3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0.73756306374120606</v>
      </c>
    </row>
    <row r="32" spans="1:3" x14ac:dyDescent="0.35">
      <c r="A32">
        <v>246.9478</v>
      </c>
      <c r="B32">
        <f>($E$2-LN(Tabela7[[#This Row],[Tempo]]))/$E$3</f>
        <v>0.62904368384577192</v>
      </c>
      <c r="C3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0.73487659396014426</v>
      </c>
    </row>
    <row r="33" spans="1:3" x14ac:dyDescent="0.35">
      <c r="A33">
        <v>247.17189999999999</v>
      </c>
      <c r="B33">
        <f>($E$2-LN(Tabela7[[#This Row],[Tempo]]))/$E$3</f>
        <v>0.61379111151669641</v>
      </c>
      <c r="C3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0.72987616666916266</v>
      </c>
    </row>
    <row r="34" spans="1:3" x14ac:dyDescent="0.35">
      <c r="A34">
        <v>247.54820000000001</v>
      </c>
      <c r="B34">
        <f>($E$2-LN(Tabela7[[#This Row],[Tempo]]))/$E$3</f>
        <v>0.58821066492407648</v>
      </c>
      <c r="C3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0.72138490849921633</v>
      </c>
    </row>
    <row r="35" spans="1:3" x14ac:dyDescent="0.35">
      <c r="A35">
        <v>247.58940000000001</v>
      </c>
      <c r="B35">
        <f>($E$2-LN(Tabela7[[#This Row],[Tempo]]))/$E$3</f>
        <v>0.58541229782762338</v>
      </c>
      <c r="C3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0.72044814836736315</v>
      </c>
    </row>
    <row r="36" spans="1:3" x14ac:dyDescent="0.35">
      <c r="A36">
        <v>248.40379999999999</v>
      </c>
      <c r="B36">
        <f>($E$2-LN(Tabela7[[#This Row],[Tempo]]))/$E$3</f>
        <v>0.53019237329565727</v>
      </c>
      <c r="C3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0.70165555794653178</v>
      </c>
    </row>
    <row r="37" spans="1:3" x14ac:dyDescent="0.35">
      <c r="A37">
        <v>248.91890000000001</v>
      </c>
      <c r="B37">
        <f>($E$2-LN(Tabela7[[#This Row],[Tempo]]))/$E$3</f>
        <v>0.49535970065531171</v>
      </c>
      <c r="C3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0.68951112295449413</v>
      </c>
    </row>
    <row r="38" spans="1:3" x14ac:dyDescent="0.35">
      <c r="A38">
        <v>249.03270000000001</v>
      </c>
      <c r="B38">
        <f>($E$2-LN(Tabela7[[#This Row],[Tempo]]))/$E$3</f>
        <v>0.4876739106669008</v>
      </c>
      <c r="C3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0.68680252293810307</v>
      </c>
    </row>
    <row r="39" spans="1:3" x14ac:dyDescent="0.35">
      <c r="A39">
        <v>249.80850000000001</v>
      </c>
      <c r="B39">
        <f>($E$2-LN(Tabela7[[#This Row],[Tempo]]))/$E$3</f>
        <v>0.43537156266698368</v>
      </c>
      <c r="C3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0.66810516825640787</v>
      </c>
    </row>
    <row r="40" spans="1:3" x14ac:dyDescent="0.35">
      <c r="A40">
        <v>249.86170000000001</v>
      </c>
      <c r="B40">
        <f>($E$2-LN(Tabela7[[#This Row],[Tempo]]))/$E$3</f>
        <v>0.43179091523265833</v>
      </c>
      <c r="C4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0.66680879659298564</v>
      </c>
    </row>
    <row r="41" spans="1:3" x14ac:dyDescent="0.35">
      <c r="A41">
        <v>249.9821</v>
      </c>
      <c r="B41">
        <f>($E$2-LN(Tabela7[[#This Row],[Tempo]]))/$E$3</f>
        <v>0.42369015903625401</v>
      </c>
      <c r="C4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0.66386847291022733</v>
      </c>
    </row>
    <row r="42" spans="1:3" x14ac:dyDescent="0.35">
      <c r="A42">
        <v>250.36269999999999</v>
      </c>
      <c r="B42">
        <f>($E$2-LN(Tabela7[[#This Row],[Tempo]]))/$E$3</f>
        <v>0.39810825573331915</v>
      </c>
      <c r="C4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0.65451673655836418</v>
      </c>
    </row>
    <row r="43" spans="1:3" x14ac:dyDescent="0.35">
      <c r="A43">
        <v>250.56</v>
      </c>
      <c r="B43">
        <f>($E$2-LN(Tabela7[[#This Row],[Tempo]]))/$E$3</f>
        <v>0.38486210261905929</v>
      </c>
      <c r="C4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0.64963606396851792</v>
      </c>
    </row>
    <row r="44" spans="1:3" x14ac:dyDescent="0.35">
      <c r="A44">
        <v>250.8511</v>
      </c>
      <c r="B44">
        <f>($E$2-LN(Tabela7[[#This Row],[Tempo]]))/$E$3</f>
        <v>0.36533752325748176</v>
      </c>
      <c r="C4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0.64239612888444086</v>
      </c>
    </row>
    <row r="45" spans="1:3" x14ac:dyDescent="0.35">
      <c r="A45">
        <v>252.09989999999999</v>
      </c>
      <c r="B45">
        <f>($E$2-LN(Tabela7[[#This Row],[Tempo]]))/$E$3</f>
        <v>0.28183463788090157</v>
      </c>
      <c r="C4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0.61086705622390935</v>
      </c>
    </row>
    <row r="46" spans="1:3" x14ac:dyDescent="0.35">
      <c r="A46">
        <v>252.3252</v>
      </c>
      <c r="B46">
        <f>($E$2-LN(Tabela7[[#This Row],[Tempo]]))/$E$3</f>
        <v>0.26681367033709863</v>
      </c>
      <c r="C4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0.6051076707266565</v>
      </c>
    </row>
    <row r="47" spans="1:3" x14ac:dyDescent="0.35">
      <c r="A47">
        <v>252.74350000000001</v>
      </c>
      <c r="B47">
        <f>($E$2-LN(Tabela7[[#This Row],[Tempo]]))/$E$3</f>
        <v>0.238960740547046</v>
      </c>
      <c r="C4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0.59436593840311347</v>
      </c>
    </row>
    <row r="48" spans="1:3" x14ac:dyDescent="0.35">
      <c r="A48">
        <v>254.3212</v>
      </c>
      <c r="B48">
        <f>($E$2-LN(Tabela7[[#This Row],[Tempo]]))/$E$3</f>
        <v>0.13432119970395648</v>
      </c>
      <c r="C4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0.55341066577722708</v>
      </c>
    </row>
    <row r="49" spans="1:3" x14ac:dyDescent="0.35">
      <c r="A49">
        <v>254.3972</v>
      </c>
      <c r="B49">
        <f>($E$2-LN(Tabela7[[#This Row],[Tempo]]))/$E$3</f>
        <v>0.12929696955397665</v>
      </c>
      <c r="C4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0.55142509147244256</v>
      </c>
    </row>
    <row r="50" spans="1:3" x14ac:dyDescent="0.35">
      <c r="A50">
        <v>254.8991</v>
      </c>
      <c r="B50">
        <f>($E$2-LN(Tabela7[[#This Row],[Tempo]]))/$E$3</f>
        <v>9.6154856755417656E-2</v>
      </c>
      <c r="C5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0.53829517190042897</v>
      </c>
    </row>
    <row r="51" spans="1:3" x14ac:dyDescent="0.35">
      <c r="A51">
        <v>254.95689999999999</v>
      </c>
      <c r="B51">
        <f>($E$2-LN(Tabela7[[#This Row],[Tempo]]))/$E$3</f>
        <v>9.2342323138849214E-2</v>
      </c>
      <c r="C5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0.53678157401883053</v>
      </c>
    </row>
    <row r="52" spans="1:3" x14ac:dyDescent="0.35">
      <c r="A52">
        <v>256.07810000000001</v>
      </c>
      <c r="B52">
        <f>($E$2-LN(Tabela7[[#This Row],[Tempo]]))/$E$3</f>
        <v>1.8557589045725149E-2</v>
      </c>
      <c r="C5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0.50740292993006531</v>
      </c>
    </row>
    <row r="53" spans="1:3" x14ac:dyDescent="0.35">
      <c r="A53">
        <v>256.24299999999999</v>
      </c>
      <c r="B53">
        <f>($E$2-LN(Tabela7[[#This Row],[Tempo]]))/$E$3</f>
        <v>7.7329903685547279E-3</v>
      </c>
      <c r="C5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0.50308498220288955</v>
      </c>
    </row>
    <row r="54" spans="1:3" x14ac:dyDescent="0.35">
      <c r="A54">
        <v>256.55459999999999</v>
      </c>
      <c r="B54">
        <f>($E$2-LN(Tabela7[[#This Row],[Tempo]]))/$E$3</f>
        <v>-1.2702492045224943E-2</v>
      </c>
      <c r="C5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0.49493259205326062</v>
      </c>
    </row>
    <row r="55" spans="1:3" x14ac:dyDescent="0.35">
      <c r="A55">
        <v>256.74529999999999</v>
      </c>
      <c r="B55">
        <f>($E$2-LN(Tabela7[[#This Row],[Tempo]]))/$E$3</f>
        <v>-2.5196820230657176E-2</v>
      </c>
      <c r="C5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0.48994911489609466</v>
      </c>
    </row>
    <row r="56" spans="1:3" x14ac:dyDescent="0.35">
      <c r="A56">
        <v>257.19850000000002</v>
      </c>
      <c r="B56">
        <f>($E$2-LN(Tabela7[[#This Row],[Tempo]]))/$E$3</f>
        <v>-5.4852491461537756E-2</v>
      </c>
      <c r="C5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0.47812922527245572</v>
      </c>
    </row>
    <row r="57" spans="1:3" x14ac:dyDescent="0.35">
      <c r="A57">
        <v>257.35629999999998</v>
      </c>
      <c r="B57">
        <f>($E$2-LN(Tabela7[[#This Row],[Tempo]]))/$E$3</f>
        <v>-6.5166055143768192E-2</v>
      </c>
      <c r="C5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0.47402291469628338</v>
      </c>
    </row>
    <row r="58" spans="1:3" x14ac:dyDescent="0.35">
      <c r="A58">
        <v>257.88650000000001</v>
      </c>
      <c r="B58">
        <f>($E$2-LN(Tabela7[[#This Row],[Tempo]]))/$E$3</f>
        <v>-9.9772845409058591E-2</v>
      </c>
      <c r="C5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0.46026901975608192</v>
      </c>
    </row>
    <row r="59" spans="1:3" x14ac:dyDescent="0.35">
      <c r="A59">
        <v>258.19929999999999</v>
      </c>
      <c r="B59">
        <f>($E$2-LN(Tabela7[[#This Row],[Tempo]]))/$E$3</f>
        <v>-0.12015632222593199</v>
      </c>
      <c r="C5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0.45219078967192572</v>
      </c>
    </row>
    <row r="60" spans="1:3" x14ac:dyDescent="0.35">
      <c r="A60">
        <v>258.34230000000002</v>
      </c>
      <c r="B60">
        <f>($E$2-LN(Tabela7[[#This Row],[Tempo]]))/$E$3</f>
        <v>-0.1294666317829275</v>
      </c>
      <c r="C6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0.44850783529141935</v>
      </c>
    </row>
    <row r="61" spans="1:3" x14ac:dyDescent="0.35">
      <c r="A61">
        <v>258.5224</v>
      </c>
      <c r="B61">
        <f>($E$2-LN(Tabela7[[#This Row],[Tempo]]))/$E$3</f>
        <v>-0.14118508347017886</v>
      </c>
      <c r="C6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0.44387904844281617</v>
      </c>
    </row>
    <row r="62" spans="1:3" x14ac:dyDescent="0.35">
      <c r="A62">
        <v>258.67309999999998</v>
      </c>
      <c r="B62">
        <f>($E$2-LN(Tabela7[[#This Row],[Tempo]]))/$E$3</f>
        <v>-0.15098431238159324</v>
      </c>
      <c r="C6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0.44001457986626763</v>
      </c>
    </row>
    <row r="63" spans="1:3" x14ac:dyDescent="0.35">
      <c r="A63">
        <v>259.09969999999998</v>
      </c>
      <c r="B63">
        <f>($E$2-LN(Tabela7[[#This Row],[Tempo]]))/$E$3</f>
        <v>-0.17869294491961965</v>
      </c>
      <c r="C6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0.42912128355263746</v>
      </c>
    </row>
    <row r="64" spans="1:3" x14ac:dyDescent="0.35">
      <c r="A64">
        <v>259.5668</v>
      </c>
      <c r="B64">
        <f>($E$2-LN(Tabela7[[#This Row],[Tempo]]))/$E$3</f>
        <v>-0.20897986853221898</v>
      </c>
      <c r="C6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0.41727942768376508</v>
      </c>
    </row>
    <row r="65" spans="1:3" x14ac:dyDescent="0.35">
      <c r="A65">
        <v>259.57549999999998</v>
      </c>
      <c r="B65">
        <f>($E$2-LN(Tabela7[[#This Row],[Tempo]]))/$E$3</f>
        <v>-0.20954346233846424</v>
      </c>
      <c r="C6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0.41705977655398996</v>
      </c>
    </row>
    <row r="66" spans="1:3" x14ac:dyDescent="0.35">
      <c r="A66">
        <v>260.22820000000002</v>
      </c>
      <c r="B66">
        <f>($E$2-LN(Tabela7[[#This Row],[Tempo]]))/$E$3</f>
        <v>-0.25177217578985656</v>
      </c>
      <c r="C6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0.4006835049485073</v>
      </c>
    </row>
    <row r="67" spans="1:3" x14ac:dyDescent="0.35">
      <c r="A67">
        <v>260.67809999999997</v>
      </c>
      <c r="B67">
        <f>($E$2-LN(Tabela7[[#This Row],[Tempo]]))/$E$3</f>
        <v>-0.28081841215223574</v>
      </c>
      <c r="C6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0.38952181147351078</v>
      </c>
    </row>
    <row r="68" spans="1:3" x14ac:dyDescent="0.35">
      <c r="A68">
        <v>260.9187</v>
      </c>
      <c r="B68">
        <f>($E$2-LN(Tabela7[[#This Row],[Tempo]]))/$E$3</f>
        <v>-0.29633135210249328</v>
      </c>
      <c r="C6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0.38359830008611895</v>
      </c>
    </row>
    <row r="69" spans="1:3" x14ac:dyDescent="0.35">
      <c r="A69">
        <v>261.09559999999999</v>
      </c>
      <c r="B69">
        <f>($E$2-LN(Tabela7[[#This Row],[Tempo]]))/$E$3</f>
        <v>-0.30772804446434987</v>
      </c>
      <c r="C6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0.37926425036449024</v>
      </c>
    </row>
    <row r="70" spans="1:3" x14ac:dyDescent="0.35">
      <c r="A70">
        <v>261.411</v>
      </c>
      <c r="B70">
        <f>($E$2-LN(Tabela7[[#This Row],[Tempo]]))/$E$3</f>
        <v>-0.32802838564732112</v>
      </c>
      <c r="C7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0.37158305875266623</v>
      </c>
    </row>
    <row r="71" spans="1:3" x14ac:dyDescent="0.35">
      <c r="A71">
        <v>261.51280000000003</v>
      </c>
      <c r="B71">
        <f>($E$2-LN(Tabela7[[#This Row],[Tempo]]))/$E$3</f>
        <v>-0.33457539182794971</v>
      </c>
      <c r="C7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0.36911679378660073</v>
      </c>
    </row>
    <row r="72" spans="1:3" x14ac:dyDescent="0.35">
      <c r="A72">
        <v>261.8587</v>
      </c>
      <c r="B72">
        <f>($E$2-LN(Tabela7[[#This Row],[Tempo]]))/$E$3</f>
        <v>-0.35680203777225183</v>
      </c>
      <c r="C7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0.36078561015695243</v>
      </c>
    </row>
    <row r="73" spans="1:3" x14ac:dyDescent="0.35">
      <c r="A73">
        <v>262.06229999999999</v>
      </c>
      <c r="B73">
        <f>($E$2-LN(Tabela7[[#This Row],[Tempo]]))/$E$3</f>
        <v>-0.36987112826370661</v>
      </c>
      <c r="C7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0.3559179790346822</v>
      </c>
    </row>
    <row r="74" spans="1:3" x14ac:dyDescent="0.35">
      <c r="A74">
        <v>262.29989999999998</v>
      </c>
      <c r="B74">
        <f>($E$2-LN(Tabela7[[#This Row],[Tempo]]))/$E$3</f>
        <v>-0.38510984741170512</v>
      </c>
      <c r="C7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0.35027241777630808</v>
      </c>
    </row>
    <row r="75" spans="1:3" x14ac:dyDescent="0.35">
      <c r="A75">
        <v>262.69439999999997</v>
      </c>
      <c r="B75">
        <f>($E$2-LN(Tabela7[[#This Row],[Tempo]]))/$E$3</f>
        <v>-0.41038104811944159</v>
      </c>
      <c r="C7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0.34098441455248318</v>
      </c>
    </row>
    <row r="76" spans="1:3" x14ac:dyDescent="0.35">
      <c r="A76">
        <v>262.71269999999998</v>
      </c>
      <c r="B76">
        <f>($E$2-LN(Tabela7[[#This Row],[Tempo]]))/$E$3</f>
        <v>-0.41155240310013624</v>
      </c>
      <c r="C7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0.34055621604793657</v>
      </c>
    </row>
    <row r="77" spans="1:3" x14ac:dyDescent="0.35">
      <c r="A77">
        <v>262.92070000000001</v>
      </c>
      <c r="B77">
        <f>($E$2-LN(Tabela7[[#This Row],[Tempo]]))/$E$3</f>
        <v>-0.42486043336882101</v>
      </c>
      <c r="C7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0.33570611932487077</v>
      </c>
    </row>
    <row r="78" spans="1:3" x14ac:dyDescent="0.35">
      <c r="A78">
        <v>263.39159999999998</v>
      </c>
      <c r="B78">
        <f>($E$2-LN(Tabela7[[#This Row],[Tempo]]))/$E$3</f>
        <v>-0.45495018912810425</v>
      </c>
      <c r="C7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0.32484275295580384</v>
      </c>
    </row>
    <row r="79" spans="1:3" x14ac:dyDescent="0.35">
      <c r="A79">
        <v>263.7457</v>
      </c>
      <c r="B79">
        <f>($E$2-LN(Tabela7[[#This Row],[Tempo]]))/$E$3</f>
        <v>-0.47754119769099185</v>
      </c>
      <c r="C7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0.31678400492106362</v>
      </c>
    </row>
    <row r="80" spans="1:3" x14ac:dyDescent="0.35">
      <c r="A80">
        <v>264.5557</v>
      </c>
      <c r="B80">
        <f>($E$2-LN(Tabela7[[#This Row],[Tempo]]))/$E$3</f>
        <v>-0.52910405477708833</v>
      </c>
      <c r="C8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0.298720569773471</v>
      </c>
    </row>
    <row r="81" spans="1:3" x14ac:dyDescent="0.35">
      <c r="A81">
        <v>266.44139999999999</v>
      </c>
      <c r="B81">
        <f>($E$2-LN(Tabela7[[#This Row],[Tempo]]))/$E$3</f>
        <v>-0.64853466558205486</v>
      </c>
      <c r="C8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0.25880279519777055</v>
      </c>
    </row>
    <row r="82" spans="1:3" x14ac:dyDescent="0.35">
      <c r="A82">
        <v>266.60939999999999</v>
      </c>
      <c r="B82">
        <f>($E$2-LN(Tabela7[[#This Row],[Tempo]]))/$E$3</f>
        <v>-0.65913388963220887</v>
      </c>
      <c r="C8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0.25539874177766181</v>
      </c>
    </row>
    <row r="83" spans="1:3" x14ac:dyDescent="0.35">
      <c r="A83">
        <v>266.7346</v>
      </c>
      <c r="B83">
        <f>($E$2-LN(Tabela7[[#This Row],[Tempo]]))/$E$3</f>
        <v>-0.66702849269949871</v>
      </c>
      <c r="C8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0.25287862507420072</v>
      </c>
    </row>
    <row r="84" spans="1:3" x14ac:dyDescent="0.35">
      <c r="A84">
        <v>267.15019999999998</v>
      </c>
      <c r="B84">
        <f>($E$2-LN(Tabela7[[#This Row],[Tempo]]))/$E$3</f>
        <v>-0.69320799862704696</v>
      </c>
      <c r="C8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0.24461632301542849</v>
      </c>
    </row>
    <row r="85" spans="1:3" x14ac:dyDescent="0.35">
      <c r="A85">
        <v>267.39780000000002</v>
      </c>
      <c r="B85">
        <f>($E$2-LN(Tabela7[[#This Row],[Tempo]]))/$E$3</f>
        <v>-0.70878548350450721</v>
      </c>
      <c r="C8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0.23976998475165825</v>
      </c>
    </row>
    <row r="86" spans="1:3" x14ac:dyDescent="0.35">
      <c r="A86">
        <v>268.26510000000002</v>
      </c>
      <c r="B86">
        <f>($E$2-LN(Tabela7[[#This Row],[Tempo]]))/$E$3</f>
        <v>-0.76323719484867714</v>
      </c>
      <c r="C8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0.22324855982349176</v>
      </c>
    </row>
    <row r="87" spans="1:3" x14ac:dyDescent="0.35">
      <c r="A87">
        <v>268.74669999999998</v>
      </c>
      <c r="B87">
        <f>($E$2-LN(Tabela7[[#This Row],[Tempo]]))/$E$3</f>
        <v>-0.79339752851219314</v>
      </c>
      <c r="C8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0.21438363645050607</v>
      </c>
    </row>
    <row r="88" spans="1:3" x14ac:dyDescent="0.35">
      <c r="A88">
        <v>269.4162</v>
      </c>
      <c r="B88">
        <f>($E$2-LN(Tabela7[[#This Row],[Tempo]]))/$E$3</f>
        <v>-0.835235481378235</v>
      </c>
      <c r="C8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0.2024313677165839</v>
      </c>
    </row>
    <row r="89" spans="1:3" x14ac:dyDescent="0.35">
      <c r="A89">
        <v>270.23349999999999</v>
      </c>
      <c r="B89">
        <f>($E$2-LN(Tabela7[[#This Row],[Tempo]]))/$E$3</f>
        <v>-0.88616895161936515</v>
      </c>
      <c r="C8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0.18843073687182624</v>
      </c>
    </row>
    <row r="90" spans="1:3" x14ac:dyDescent="0.35">
      <c r="A90">
        <v>270.75689999999997</v>
      </c>
      <c r="B90">
        <f>($E$2-LN(Tabela7[[#This Row],[Tempo]]))/$E$3</f>
        <v>-0.91870596389613746</v>
      </c>
      <c r="C9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0.17980713552334363</v>
      </c>
    </row>
    <row r="91" spans="1:3" x14ac:dyDescent="0.35">
      <c r="A91">
        <v>272.12689999999998</v>
      </c>
      <c r="B91">
        <f>($E$2-LN(Tabela7[[#This Row],[Tempo]]))/$E$3</f>
        <v>-1.0035747485000599</v>
      </c>
      <c r="C9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0.15850084909357279</v>
      </c>
    </row>
    <row r="92" spans="1:3" x14ac:dyDescent="0.35">
      <c r="A92">
        <v>275.11470000000003</v>
      </c>
      <c r="B92">
        <f>($E$2-LN(Tabela7[[#This Row],[Tempo]]))/$E$3</f>
        <v>-1.1871905742750395</v>
      </c>
      <c r="C92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0.11828561883944515</v>
      </c>
    </row>
    <row r="93" spans="1:3" x14ac:dyDescent="0.35">
      <c r="A93">
        <v>276.23820000000001</v>
      </c>
      <c r="B93">
        <f>($E$2-LN(Tabela7[[#This Row],[Tempo]]))/$E$3</f>
        <v>-1.255720047035958</v>
      </c>
      <c r="C93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0.10530111267668067</v>
      </c>
    </row>
    <row r="94" spans="1:3" x14ac:dyDescent="0.35">
      <c r="A94">
        <v>276.5908</v>
      </c>
      <c r="B94">
        <f>($E$2-LN(Tabela7[[#This Row],[Tempo]]))/$E$3</f>
        <v>-1.277169929945285</v>
      </c>
      <c r="C94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0.10145658843246497</v>
      </c>
    </row>
    <row r="95" spans="1:3" x14ac:dyDescent="0.35">
      <c r="A95">
        <v>277.69970000000001</v>
      </c>
      <c r="B95">
        <f>($E$2-LN(Tabela7[[#This Row],[Tempo]]))/$E$3</f>
        <v>-1.3444503824152185</v>
      </c>
      <c r="C95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9.0060934609355464E-2</v>
      </c>
    </row>
    <row r="96" spans="1:3" x14ac:dyDescent="0.35">
      <c r="A96">
        <v>279.3349</v>
      </c>
      <c r="B96">
        <f>($E$2-LN(Tabela7[[#This Row],[Tempo]]))/$E$3</f>
        <v>-1.4431745157255211</v>
      </c>
      <c r="C96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7.5097665510652459E-2</v>
      </c>
    </row>
    <row r="97" spans="1:3" x14ac:dyDescent="0.35">
      <c r="A97">
        <v>281.77420000000001</v>
      </c>
      <c r="B97">
        <f>($E$2-LN(Tabela7[[#This Row],[Tempo]]))/$E$3</f>
        <v>-1.5893767519849107</v>
      </c>
      <c r="C97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5.6516033505161864E-2</v>
      </c>
    </row>
    <row r="98" spans="1:3" x14ac:dyDescent="0.35">
      <c r="A98">
        <v>282.27940000000001</v>
      </c>
      <c r="B98">
        <f>($E$2-LN(Tabela7[[#This Row],[Tempo]]))/$E$3</f>
        <v>-1.6194982425041347</v>
      </c>
      <c r="C98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5.3180100775267254E-2</v>
      </c>
    </row>
    <row r="99" spans="1:3" x14ac:dyDescent="0.35">
      <c r="A99">
        <v>284.52350000000001</v>
      </c>
      <c r="B99">
        <f>($E$2-LN(Tabela7[[#This Row],[Tempo]]))/$E$3</f>
        <v>-1.7526496578847324</v>
      </c>
      <c r="C99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4.0259338071836993E-2</v>
      </c>
    </row>
    <row r="100" spans="1:3" x14ac:dyDescent="0.35">
      <c r="A100">
        <v>295.44970000000001</v>
      </c>
      <c r="B100">
        <f>($E$2-LN(Tabela7[[#This Row],[Tempo]]))/$E$3</f>
        <v>-2.38629461507991</v>
      </c>
      <c r="C100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8.6386206925995815E-3</v>
      </c>
    </row>
    <row r="101" spans="1:3" x14ac:dyDescent="0.35">
      <c r="A101">
        <v>305.07979999999998</v>
      </c>
      <c r="B101">
        <f>($E$2-LN(Tabela7[[#This Row],[Tempo]]))/$E$3</f>
        <v>-2.9256401125354095</v>
      </c>
      <c r="C101" s="33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1.749635147972328E-3</v>
      </c>
    </row>
    <row r="102" spans="1:3" x14ac:dyDescent="0.35">
      <c r="B102" t="e">
        <f>($E$2-LN(Tabela7[[#This Row],[Tempo]]))/$E$3</f>
        <v>#NUM!</v>
      </c>
      <c r="C102" s="53" t="e">
        <f>IF(Tabela7[[#This Row],[z]]&gt;=0, 1-(((4-PI())*Tabela7[[#This Row],[z]]+SQRT(2*PI())*(PI()-2))/(((4-PI())*SQRT(2*PI())*Tabela7[[#This Row],[z]]^2)+(2*PI()*Tabela7[[#This Row],[z]])+(2*SQRT(2*PI())*(PI()-2))))*EXP(-(Tabela7[[#This Row],[z]]^2)/2), (((4-PI())*ABS(Tabela7[[#This Row],[z]])+SQRT(2*PI())*(PI()-2))/(((4-PI())*SQRT(2*PI())*Tabela7[[#This Row],[z]]^2)+(2*PI()*ABS(Tabela7[[#This Row],[z]]))+(2*SQRT(2*PI())*(PI()-2))))*EXP(-(Tabela7[[#This Row],[z]]^2)/2))</f>
        <v>#NUM!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467C-729C-4B20-ADAC-879595A26B46}">
  <dimension ref="A1:U84"/>
  <sheetViews>
    <sheetView tabSelected="1" topLeftCell="A43" zoomScale="115" zoomScaleNormal="115" workbookViewId="0">
      <selection activeCell="G63" sqref="G63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4.36328125" customWidth="1"/>
    <col min="4" max="4" width="15.81640625" bestFit="1" customWidth="1"/>
    <col min="5" max="5" width="16.7265625" bestFit="1" customWidth="1"/>
    <col min="6" max="6" width="20" customWidth="1"/>
    <col min="7" max="7" width="19.36328125" customWidth="1"/>
  </cols>
  <sheetData>
    <row r="1" spans="1:21" x14ac:dyDescent="0.35">
      <c r="A1" s="39" t="s">
        <v>47</v>
      </c>
      <c r="B1" s="39"/>
      <c r="C1" s="39"/>
      <c r="D1" s="39"/>
      <c r="E1" s="39"/>
      <c r="F1" s="39"/>
      <c r="G1" s="26"/>
    </row>
    <row r="2" spans="1:21" x14ac:dyDescent="0.35">
      <c r="A2" t="s">
        <v>16</v>
      </c>
      <c r="B2" t="s">
        <v>15</v>
      </c>
      <c r="C2" t="s">
        <v>2</v>
      </c>
      <c r="D2" t="s">
        <v>0</v>
      </c>
      <c r="E2" t="s">
        <v>3</v>
      </c>
      <c r="F2" t="s">
        <v>17</v>
      </c>
      <c r="G2" s="1"/>
    </row>
    <row r="3" spans="1:21" x14ac:dyDescent="0.35">
      <c r="A3">
        <v>0.99</v>
      </c>
      <c r="B3" s="24">
        <v>1669483.27797187</v>
      </c>
      <c r="C3" s="52">
        <v>416.90187949</v>
      </c>
      <c r="D3" s="52">
        <v>0.40157144833038999</v>
      </c>
      <c r="E3" s="52">
        <v>0.99001216445960405</v>
      </c>
      <c r="F3" s="52">
        <v>1.21261382102966</v>
      </c>
      <c r="G3" s="1"/>
    </row>
    <row r="4" spans="1:21" x14ac:dyDescent="0.35">
      <c r="A4">
        <v>0.98</v>
      </c>
      <c r="B4" s="24">
        <v>635452.11347614904</v>
      </c>
      <c r="C4" s="52">
        <v>169.20117776000001</v>
      </c>
      <c r="D4" s="52">
        <v>0.94502262624518996</v>
      </c>
      <c r="E4" s="52">
        <v>0.98193041912031098</v>
      </c>
      <c r="F4" s="52">
        <v>1.18518567085266</v>
      </c>
      <c r="G4" s="1"/>
      <c r="U4">
        <f>AVERAGE(Tabela8[Tempo de execução])</f>
        <v>1.2586207091808275</v>
      </c>
    </row>
    <row r="5" spans="1:21" x14ac:dyDescent="0.35">
      <c r="A5">
        <v>0.97</v>
      </c>
      <c r="B5" s="24">
        <v>635452.11347614904</v>
      </c>
      <c r="C5" s="52">
        <v>169.80045398999999</v>
      </c>
      <c r="D5" s="52">
        <v>0.94502262624518996</v>
      </c>
      <c r="E5" s="52">
        <v>0.98193041912031098</v>
      </c>
      <c r="F5" s="52">
        <v>1.2899019718170099</v>
      </c>
      <c r="G5" s="1"/>
    </row>
    <row r="6" spans="1:21" x14ac:dyDescent="0.35">
      <c r="A6">
        <v>0.96</v>
      </c>
      <c r="B6" s="24">
        <v>635452.11347614904</v>
      </c>
      <c r="C6" s="52">
        <v>169.46943139999999</v>
      </c>
      <c r="D6" s="52">
        <v>0.94502262624518996</v>
      </c>
      <c r="E6" s="52">
        <v>0.98193041912031098</v>
      </c>
      <c r="F6" s="52">
        <v>1.2899019718170099</v>
      </c>
      <c r="G6" s="1"/>
      <c r="U6">
        <f>AVERAGE(Tabela9[Tempo de execução])</f>
        <v>1.1264722347259477</v>
      </c>
    </row>
    <row r="7" spans="1:21" x14ac:dyDescent="0.35">
      <c r="A7">
        <v>0.95</v>
      </c>
      <c r="B7" s="24">
        <v>635452.11347614904</v>
      </c>
      <c r="C7" s="52">
        <v>169.95363019000001</v>
      </c>
      <c r="D7" s="52">
        <v>0.94502262624518996</v>
      </c>
      <c r="E7" s="52">
        <v>0.98193041912031098</v>
      </c>
      <c r="F7" s="52">
        <v>1.2488148212432799</v>
      </c>
      <c r="G7" s="1"/>
    </row>
    <row r="8" spans="1:21" x14ac:dyDescent="0.35">
      <c r="A8">
        <v>0.9</v>
      </c>
      <c r="B8" s="24">
        <v>635452.11347614904</v>
      </c>
      <c r="C8" s="52">
        <v>169.03018033999999</v>
      </c>
      <c r="D8" s="52">
        <v>0.94502262624518996</v>
      </c>
      <c r="E8" s="52">
        <v>0.98193041912031098</v>
      </c>
      <c r="F8" s="52">
        <v>1.1983151435852</v>
      </c>
      <c r="G8" s="1"/>
      <c r="U8">
        <f>AVERAGE(Tabela10[Tempo de execução])</f>
        <v>1.3103523850440923</v>
      </c>
    </row>
    <row r="9" spans="1:21" x14ac:dyDescent="0.35">
      <c r="A9">
        <v>0.85</v>
      </c>
      <c r="B9" s="24">
        <v>635452.11347614904</v>
      </c>
      <c r="C9" s="52">
        <v>169.28309655000001</v>
      </c>
      <c r="D9" s="52">
        <v>0.94502262624518996</v>
      </c>
      <c r="E9" s="52">
        <v>0.98193041912031098</v>
      </c>
      <c r="F9" s="52">
        <v>1.3356575965881301</v>
      </c>
      <c r="G9" s="1"/>
    </row>
    <row r="10" spans="1:21" x14ac:dyDescent="0.35">
      <c r="A10">
        <v>0.8</v>
      </c>
      <c r="B10" s="24">
        <v>635452.11347614904</v>
      </c>
      <c r="C10" s="52">
        <v>169.32114598999999</v>
      </c>
      <c r="D10" s="52">
        <v>0.94502262624518996</v>
      </c>
      <c r="E10" s="52">
        <v>0.98193041912031098</v>
      </c>
      <c r="F10" s="52">
        <v>1.3085746765136701</v>
      </c>
      <c r="G10" s="1"/>
    </row>
    <row r="11" spans="1:21" x14ac:dyDescent="0.35">
      <c r="A11" s="39" t="s">
        <v>48</v>
      </c>
      <c r="B11" s="39"/>
      <c r="C11" s="39"/>
      <c r="D11" s="39"/>
      <c r="E11" s="39"/>
      <c r="F11" s="39"/>
      <c r="G11" s="26"/>
    </row>
    <row r="12" spans="1:21" x14ac:dyDescent="0.35">
      <c r="A12" t="s">
        <v>16</v>
      </c>
      <c r="B12" t="s">
        <v>15</v>
      </c>
      <c r="C12" t="s">
        <v>2</v>
      </c>
      <c r="D12" t="s">
        <v>0</v>
      </c>
      <c r="E12" t="s">
        <v>3</v>
      </c>
      <c r="F12" t="s">
        <v>17</v>
      </c>
      <c r="G12" s="1"/>
    </row>
    <row r="13" spans="1:21" x14ac:dyDescent="0.35">
      <c r="A13">
        <v>0.99</v>
      </c>
      <c r="B13" s="50">
        <v>45223089.682993203</v>
      </c>
      <c r="C13" s="51">
        <v>236.83501593</v>
      </c>
      <c r="D13" s="51">
        <v>0</v>
      </c>
      <c r="E13" s="51">
        <v>0.99159663865546199</v>
      </c>
      <c r="F13" s="51">
        <v>0.73809480667114202</v>
      </c>
      <c r="G13" s="1"/>
    </row>
    <row r="14" spans="1:21" x14ac:dyDescent="0.35">
      <c r="A14">
        <v>0.98</v>
      </c>
      <c r="B14" s="50">
        <v>45223089.682992399</v>
      </c>
      <c r="C14" s="54">
        <v>98.280018479999995</v>
      </c>
      <c r="D14" s="51">
        <v>1.8873791418627601E-14</v>
      </c>
      <c r="E14" s="51">
        <v>0.98</v>
      </c>
      <c r="F14" s="51">
        <v>0.90062403678893999</v>
      </c>
      <c r="G14" s="1"/>
    </row>
    <row r="15" spans="1:21" x14ac:dyDescent="0.35">
      <c r="A15">
        <v>0.97</v>
      </c>
      <c r="B15" s="50">
        <v>45223087.957101896</v>
      </c>
      <c r="C15" s="51">
        <v>65.214743709999993</v>
      </c>
      <c r="D15" s="51">
        <v>3.9336198853767699E-8</v>
      </c>
      <c r="E15" s="54">
        <v>0.97014925458571599</v>
      </c>
      <c r="F15" s="51">
        <v>1.0524559020996</v>
      </c>
      <c r="G15" s="1"/>
    </row>
    <row r="16" spans="1:21" x14ac:dyDescent="0.35">
      <c r="A16">
        <v>0.96</v>
      </c>
      <c r="B16" s="50">
        <v>6107572.2693066299</v>
      </c>
      <c r="C16" s="51">
        <v>15.859004410000001</v>
      </c>
      <c r="D16" s="51">
        <v>0.99320590965664601</v>
      </c>
      <c r="E16" s="51">
        <v>0.96710607038576002</v>
      </c>
      <c r="F16" s="51">
        <v>1.1448671817779501</v>
      </c>
      <c r="G16" s="1"/>
    </row>
    <row r="17" spans="1:7" x14ac:dyDescent="0.35">
      <c r="A17">
        <v>0.95</v>
      </c>
      <c r="B17" s="50">
        <v>6107572.2693066299</v>
      </c>
      <c r="C17" s="51">
        <v>15.824573750000001</v>
      </c>
      <c r="D17" s="51">
        <v>0.99320590965664601</v>
      </c>
      <c r="E17" s="51">
        <v>0.96710607038576002</v>
      </c>
      <c r="F17" s="51">
        <v>1.1747455596923799</v>
      </c>
      <c r="G17" s="1"/>
    </row>
    <row r="18" spans="1:7" x14ac:dyDescent="0.35">
      <c r="A18">
        <v>0.94</v>
      </c>
      <c r="B18" s="50">
        <v>6107572.2693066299</v>
      </c>
      <c r="C18" s="51">
        <v>15.80558079</v>
      </c>
      <c r="D18" s="51">
        <v>0.99320590965664601</v>
      </c>
      <c r="E18" s="51">
        <v>0.96710607038576002</v>
      </c>
      <c r="F18" s="51">
        <v>1.11587738990783</v>
      </c>
      <c r="G18" s="1"/>
    </row>
    <row r="19" spans="1:7" x14ac:dyDescent="0.35">
      <c r="A19">
        <v>0.93</v>
      </c>
      <c r="B19" s="50">
        <v>6107572.2693066299</v>
      </c>
      <c r="C19" s="51">
        <v>15.26289341</v>
      </c>
      <c r="D19" s="51">
        <v>0.99320590965664601</v>
      </c>
      <c r="E19" s="51">
        <v>0.96710607038576002</v>
      </c>
      <c r="F19" s="51">
        <v>1.2358481884002599</v>
      </c>
      <c r="G19" s="1"/>
    </row>
    <row r="20" spans="1:7" x14ac:dyDescent="0.35">
      <c r="A20">
        <v>0.92</v>
      </c>
      <c r="B20" s="50">
        <v>6107572.2693066299</v>
      </c>
      <c r="C20" s="51">
        <v>15.99685481</v>
      </c>
      <c r="D20" s="51">
        <v>0.99320590965664601</v>
      </c>
      <c r="E20" s="51">
        <v>0.96710607038576002</v>
      </c>
      <c r="F20" s="51">
        <v>1.21982192993164</v>
      </c>
      <c r="G20" s="1"/>
    </row>
    <row r="21" spans="1:7" x14ac:dyDescent="0.35">
      <c r="A21">
        <v>0.91</v>
      </c>
      <c r="B21" s="50">
        <v>6107572.2693066299</v>
      </c>
      <c r="C21" s="51">
        <v>15.51433589</v>
      </c>
      <c r="D21" s="51">
        <v>0.99320590965664601</v>
      </c>
      <c r="E21" s="51">
        <v>0.96710607038576002</v>
      </c>
      <c r="F21" s="51">
        <v>1.2014532089233301</v>
      </c>
      <c r="G21" s="26"/>
    </row>
    <row r="22" spans="1:7" x14ac:dyDescent="0.35">
      <c r="A22">
        <v>0.9</v>
      </c>
      <c r="B22" s="50">
        <v>6107572.2693066299</v>
      </c>
      <c r="C22" s="51">
        <v>15.21762648</v>
      </c>
      <c r="D22" s="51">
        <v>0.99320590965664601</v>
      </c>
      <c r="E22" s="51">
        <v>0.96710607038576002</v>
      </c>
      <c r="F22" s="54">
        <v>1.24509048461914</v>
      </c>
      <c r="G22" s="1"/>
    </row>
    <row r="23" spans="1:7" x14ac:dyDescent="0.35">
      <c r="A23">
        <v>0.85</v>
      </c>
      <c r="B23" s="50">
        <v>6107572.2693066299</v>
      </c>
      <c r="C23" s="51">
        <v>15.01571996</v>
      </c>
      <c r="D23" s="51">
        <v>0.99320590965664601</v>
      </c>
      <c r="E23" s="51">
        <v>0.96710607038576002</v>
      </c>
      <c r="F23" s="51">
        <v>1.27835392951965</v>
      </c>
      <c r="G23" s="1"/>
    </row>
    <row r="24" spans="1:7" x14ac:dyDescent="0.35">
      <c r="A24">
        <v>0.8</v>
      </c>
      <c r="B24" s="50">
        <v>6107572.2693066299</v>
      </c>
      <c r="C24" s="51">
        <v>15.62527708</v>
      </c>
      <c r="D24" s="51">
        <v>0.99320590965664601</v>
      </c>
      <c r="E24" s="51">
        <v>0.96710607038576002</v>
      </c>
      <c r="F24" s="51">
        <v>1.2104341983795099</v>
      </c>
      <c r="G24" s="1"/>
    </row>
    <row r="25" spans="1:7" x14ac:dyDescent="0.35">
      <c r="A25" s="39" t="s">
        <v>49</v>
      </c>
      <c r="B25" s="39"/>
      <c r="C25" s="39"/>
      <c r="D25" s="39"/>
      <c r="E25" s="39"/>
      <c r="F25" s="39"/>
      <c r="G25" s="1"/>
    </row>
    <row r="26" spans="1:7" x14ac:dyDescent="0.35">
      <c r="A26" t="s">
        <v>16</v>
      </c>
      <c r="B26" t="s">
        <v>15</v>
      </c>
      <c r="C26" t="s">
        <v>2</v>
      </c>
      <c r="D26" t="s">
        <v>0</v>
      </c>
      <c r="E26" t="s">
        <v>3</v>
      </c>
      <c r="F26" t="s">
        <v>17</v>
      </c>
      <c r="G26" s="1"/>
    </row>
    <row r="27" spans="1:7" x14ac:dyDescent="0.35">
      <c r="A27">
        <v>0.99</v>
      </c>
      <c r="B27" s="24">
        <v>413349.28432617499</v>
      </c>
      <c r="C27">
        <v>216.77448447</v>
      </c>
      <c r="D27">
        <v>0.99798001879907905</v>
      </c>
      <c r="E27">
        <v>0.99080732649382297</v>
      </c>
      <c r="F27">
        <v>1.159912109375</v>
      </c>
      <c r="G27" s="1"/>
    </row>
    <row r="28" spans="1:7" x14ac:dyDescent="0.35">
      <c r="A28">
        <v>0.98</v>
      </c>
      <c r="B28" s="24">
        <v>413349.28432617499</v>
      </c>
      <c r="C28" s="25">
        <v>216.92214207999999</v>
      </c>
      <c r="D28">
        <v>0.99798001879907905</v>
      </c>
      <c r="E28">
        <v>0.99080732649382297</v>
      </c>
      <c r="F28">
        <v>1.32669472694396</v>
      </c>
      <c r="G28" s="1"/>
    </row>
    <row r="29" spans="1:7" x14ac:dyDescent="0.35">
      <c r="A29">
        <v>0.97</v>
      </c>
      <c r="B29" s="24">
        <v>413349.28432617499</v>
      </c>
      <c r="C29" s="25">
        <v>216.55953227000001</v>
      </c>
      <c r="D29">
        <v>0.99798001879907905</v>
      </c>
      <c r="E29">
        <v>0.99080732649382297</v>
      </c>
      <c r="F29">
        <v>1.35171175003051</v>
      </c>
      <c r="G29" s="1"/>
    </row>
    <row r="30" spans="1:7" x14ac:dyDescent="0.35">
      <c r="A30">
        <v>0.96</v>
      </c>
      <c r="B30" s="24">
        <v>413349.28432617499</v>
      </c>
      <c r="C30" s="25">
        <v>216.24428355000001</v>
      </c>
      <c r="D30">
        <v>0.99798001879907905</v>
      </c>
      <c r="E30">
        <v>0.99080732649382297</v>
      </c>
      <c r="F30">
        <v>1.3551158905029199</v>
      </c>
      <c r="G30" s="1"/>
    </row>
    <row r="31" spans="1:7" x14ac:dyDescent="0.35">
      <c r="A31">
        <v>0.95</v>
      </c>
      <c r="B31" s="24">
        <v>413349.28432617499</v>
      </c>
      <c r="C31" s="25">
        <v>216.44786624</v>
      </c>
      <c r="D31">
        <v>0.99798001879907905</v>
      </c>
      <c r="E31">
        <v>0.99080732649382297</v>
      </c>
      <c r="F31">
        <v>1.25536108016967</v>
      </c>
      <c r="G31" s="1"/>
    </row>
    <row r="32" spans="1:7" x14ac:dyDescent="0.35">
      <c r="A32">
        <v>0.9</v>
      </c>
      <c r="B32" s="24">
        <v>413349.28432617499</v>
      </c>
      <c r="C32" s="25">
        <v>216.39362388000001</v>
      </c>
      <c r="D32">
        <v>0.99798001879907905</v>
      </c>
      <c r="E32">
        <v>0.99080732649382297</v>
      </c>
      <c r="F32">
        <v>1.3051517009735101</v>
      </c>
      <c r="G32" s="1"/>
    </row>
    <row r="33" spans="1:7" x14ac:dyDescent="0.35">
      <c r="A33">
        <v>0.85</v>
      </c>
      <c r="B33" s="24">
        <v>413349.28432617499</v>
      </c>
      <c r="C33" s="25">
        <v>216.6627043</v>
      </c>
      <c r="D33">
        <v>0.99798001879907905</v>
      </c>
      <c r="E33">
        <v>0.99080732649382297</v>
      </c>
      <c r="F33">
        <v>1.33801770210266</v>
      </c>
      <c r="G33" s="1"/>
    </row>
    <row r="34" spans="1:7" x14ac:dyDescent="0.35">
      <c r="A34">
        <v>0.8</v>
      </c>
      <c r="B34" s="24">
        <v>413349.28432617499</v>
      </c>
      <c r="C34" s="25">
        <v>216.04019038000001</v>
      </c>
      <c r="D34">
        <v>0.99798001879907905</v>
      </c>
      <c r="E34">
        <v>0.99080732649382297</v>
      </c>
      <c r="F34">
        <v>1.3908541202545099</v>
      </c>
      <c r="G34" s="1"/>
    </row>
    <row r="35" spans="1:7" x14ac:dyDescent="0.35">
      <c r="A35" s="39" t="s">
        <v>50</v>
      </c>
      <c r="B35" s="39"/>
      <c r="C35" s="39"/>
      <c r="D35" s="39"/>
      <c r="E35" s="39"/>
      <c r="F35" s="39"/>
      <c r="G35" s="1"/>
    </row>
    <row r="36" spans="1:7" x14ac:dyDescent="0.35">
      <c r="A36" s="28" t="s">
        <v>18</v>
      </c>
      <c r="B36" s="29" t="s">
        <v>15</v>
      </c>
      <c r="C36" s="29" t="s">
        <v>2</v>
      </c>
      <c r="D36" s="29" t="s">
        <v>0</v>
      </c>
      <c r="E36" s="29" t="s">
        <v>3</v>
      </c>
      <c r="F36" s="30" t="s">
        <v>17</v>
      </c>
      <c r="G36" s="29" t="s">
        <v>25</v>
      </c>
    </row>
    <row r="37" spans="1:7" x14ac:dyDescent="0.35">
      <c r="A37" s="13">
        <v>1</v>
      </c>
      <c r="B37" s="27">
        <v>636196.92059508699</v>
      </c>
      <c r="C37" s="12">
        <v>165.12750717</v>
      </c>
      <c r="D37" s="12">
        <v>0.95027878444165004</v>
      </c>
      <c r="E37" s="12">
        <v>0.98156185180455402</v>
      </c>
      <c r="F37" s="23">
        <v>0.74924802780151301</v>
      </c>
      <c r="G37">
        <f>MIN(Tabela8[Custo])</f>
        <v>635452.11347614904</v>
      </c>
    </row>
    <row r="38" spans="1:7" x14ac:dyDescent="0.35">
      <c r="A38" s="14">
        <v>2</v>
      </c>
      <c r="B38" s="24">
        <v>6107572.2693066299</v>
      </c>
      <c r="C38">
        <v>15.18478226</v>
      </c>
      <c r="D38" s="8">
        <v>0.99320590965664601</v>
      </c>
      <c r="E38">
        <v>0.96710607038576002</v>
      </c>
      <c r="F38" s="22">
        <v>0.91086626052856401</v>
      </c>
      <c r="G38">
        <f>MIN(Tabela9[Custo])</f>
        <v>6107572.2693066299</v>
      </c>
    </row>
    <row r="39" spans="1:7" x14ac:dyDescent="0.35">
      <c r="A39">
        <v>3</v>
      </c>
      <c r="B39">
        <v>413349.28432617499</v>
      </c>
      <c r="C39">
        <v>216.08328961000001</v>
      </c>
      <c r="D39" s="25">
        <v>0.99798001879907905</v>
      </c>
      <c r="E39" s="25">
        <v>0.99080732649382297</v>
      </c>
      <c r="F39">
        <v>1.0342171192169101</v>
      </c>
      <c r="G39">
        <f>MIN(Tabela10[Custo])</f>
        <v>413349.28432617499</v>
      </c>
    </row>
    <row r="41" spans="1:7" x14ac:dyDescent="0.35">
      <c r="A41" t="s">
        <v>19</v>
      </c>
      <c r="B41" t="s">
        <v>51</v>
      </c>
      <c r="C41" t="s">
        <v>52</v>
      </c>
      <c r="D41" t="s">
        <v>53</v>
      </c>
    </row>
    <row r="42" spans="1:7" x14ac:dyDescent="0.35">
      <c r="A42" t="s">
        <v>20</v>
      </c>
      <c r="B42">
        <v>100</v>
      </c>
      <c r="C42">
        <v>100</v>
      </c>
      <c r="D42">
        <v>100</v>
      </c>
    </row>
    <row r="43" spans="1:7" x14ac:dyDescent="0.35">
      <c r="A43" t="s">
        <v>21</v>
      </c>
      <c r="B43">
        <v>600</v>
      </c>
      <c r="C43">
        <v>600</v>
      </c>
      <c r="D43">
        <v>600</v>
      </c>
    </row>
    <row r="44" spans="1:7" x14ac:dyDescent="0.35">
      <c r="A44" t="s">
        <v>22</v>
      </c>
      <c r="B44" s="31">
        <v>9.9999999999999993E-41</v>
      </c>
      <c r="C44" s="31">
        <v>9.9999999999999993E-41</v>
      </c>
      <c r="D44" s="31">
        <v>9.9999999999999993E-41</v>
      </c>
    </row>
    <row r="45" spans="1:7" x14ac:dyDescent="0.35">
      <c r="A45" t="s">
        <v>23</v>
      </c>
      <c r="B45" s="32">
        <v>4130</v>
      </c>
      <c r="C45">
        <v>240</v>
      </c>
      <c r="D45">
        <v>2560</v>
      </c>
    </row>
    <row r="46" spans="1:7" x14ac:dyDescent="0.35">
      <c r="A46" t="s">
        <v>24</v>
      </c>
      <c r="B46">
        <v>0.5</v>
      </c>
      <c r="C46">
        <v>1.2</v>
      </c>
      <c r="D46">
        <v>1.2</v>
      </c>
    </row>
    <row r="66" spans="1:7" x14ac:dyDescent="0.35">
      <c r="A66" s="35"/>
      <c r="B66" s="35"/>
      <c r="C66" s="35"/>
      <c r="D66" s="35"/>
      <c r="E66" s="35"/>
      <c r="F66" s="35"/>
      <c r="G66" s="35"/>
    </row>
    <row r="67" spans="1:7" x14ac:dyDescent="0.35">
      <c r="G67" s="38"/>
    </row>
    <row r="68" spans="1:7" x14ac:dyDescent="0.35">
      <c r="A68" s="35"/>
      <c r="B68" s="35"/>
      <c r="C68" s="35"/>
      <c r="D68" s="35"/>
      <c r="E68" s="35"/>
      <c r="F68" s="35"/>
      <c r="G68" s="35"/>
    </row>
    <row r="69" spans="1:7" x14ac:dyDescent="0.35">
      <c r="A69" s="36"/>
      <c r="B69" s="37"/>
      <c r="C69" s="37"/>
      <c r="D69" s="55"/>
      <c r="E69" s="55"/>
      <c r="F69" s="37"/>
      <c r="G69" s="38"/>
    </row>
    <row r="70" spans="1:7" x14ac:dyDescent="0.35">
      <c r="A70" s="36"/>
      <c r="B70" s="38"/>
      <c r="C70" s="38"/>
      <c r="D70" s="55"/>
      <c r="E70" s="55"/>
      <c r="F70" s="37"/>
      <c r="G70" s="38"/>
    </row>
    <row r="71" spans="1:7" x14ac:dyDescent="0.35">
      <c r="A71" s="11"/>
      <c r="B71" s="11"/>
      <c r="C71" s="38"/>
      <c r="D71" s="55"/>
      <c r="E71" s="55"/>
      <c r="F71" s="38"/>
      <c r="G71" s="38"/>
    </row>
    <row r="72" spans="1:7" x14ac:dyDescent="0.35">
      <c r="A72" s="55"/>
      <c r="B72" s="38"/>
      <c r="C72" s="37"/>
      <c r="D72" s="55"/>
      <c r="E72" s="55"/>
      <c r="F72" s="38"/>
      <c r="G72" s="11"/>
    </row>
    <row r="73" spans="1:7" x14ac:dyDescent="0.35">
      <c r="A73" s="55"/>
      <c r="B73" s="38"/>
      <c r="C73" s="37"/>
      <c r="D73" s="55"/>
      <c r="E73" s="55"/>
      <c r="F73" s="38"/>
      <c r="G73" s="11"/>
    </row>
    <row r="74" spans="1:7" x14ac:dyDescent="0.35">
      <c r="A74" s="55"/>
      <c r="B74" s="38"/>
      <c r="C74" s="37"/>
      <c r="D74" s="55"/>
      <c r="E74" s="55"/>
      <c r="F74" s="38"/>
      <c r="G74" s="11"/>
    </row>
    <row r="75" spans="1:7" x14ac:dyDescent="0.35">
      <c r="A75" s="55"/>
      <c r="B75" s="38"/>
      <c r="C75" s="37"/>
      <c r="D75" s="55"/>
      <c r="E75" s="55"/>
      <c r="F75" s="38"/>
      <c r="G75" s="11"/>
    </row>
    <row r="76" spans="1:7" x14ac:dyDescent="0.35">
      <c r="A76" s="55"/>
      <c r="B76" s="38"/>
      <c r="C76" s="38"/>
      <c r="D76" s="55"/>
      <c r="E76" s="55"/>
      <c r="F76" s="38"/>
      <c r="G76" s="11"/>
    </row>
    <row r="77" spans="1:7" x14ac:dyDescent="0.35">
      <c r="A77" s="55"/>
      <c r="B77" s="38"/>
      <c r="C77" s="38"/>
      <c r="D77" s="55"/>
      <c r="E77" s="55"/>
      <c r="F77" s="37"/>
      <c r="G77" s="11"/>
    </row>
    <row r="78" spans="1:7" x14ac:dyDescent="0.35">
      <c r="A78" s="55"/>
      <c r="B78" s="55"/>
      <c r="C78" s="56"/>
      <c r="D78" s="56"/>
      <c r="E78" s="56"/>
      <c r="F78" s="38"/>
      <c r="G78" s="11"/>
    </row>
    <row r="79" spans="1:7" x14ac:dyDescent="0.35">
      <c r="A79" s="55"/>
      <c r="B79" s="11"/>
      <c r="C79" s="11"/>
      <c r="D79" s="11"/>
      <c r="E79" s="11"/>
      <c r="F79" s="38"/>
      <c r="G79" s="11"/>
    </row>
    <row r="80" spans="1:7" x14ac:dyDescent="0.35">
      <c r="A80" s="11"/>
      <c r="B80" s="38"/>
      <c r="C80" s="38"/>
      <c r="D80" s="38"/>
      <c r="E80" s="38"/>
      <c r="F80" s="11"/>
      <c r="G80" s="11"/>
    </row>
    <row r="81" spans="1:7" x14ac:dyDescent="0.35">
      <c r="A81" s="11"/>
      <c r="B81" s="37"/>
      <c r="C81" s="37"/>
      <c r="D81" s="37"/>
      <c r="E81" s="38"/>
      <c r="F81" s="11"/>
      <c r="G81" s="11"/>
    </row>
    <row r="82" spans="1:7" x14ac:dyDescent="0.35">
      <c r="A82" s="11"/>
      <c r="B82" s="55"/>
      <c r="C82" s="55"/>
      <c r="D82" s="55"/>
      <c r="E82" s="55"/>
      <c r="F82" s="11"/>
      <c r="G82" s="11"/>
    </row>
    <row r="83" spans="1:7" x14ac:dyDescent="0.35">
      <c r="A83" s="11"/>
      <c r="B83" s="55"/>
      <c r="C83" s="55"/>
      <c r="D83" s="55"/>
      <c r="E83" s="55"/>
      <c r="F83" s="11"/>
      <c r="G83" s="11"/>
    </row>
    <row r="84" spans="1:7" x14ac:dyDescent="0.35">
      <c r="A84" s="11"/>
      <c r="B84" s="38"/>
      <c r="C84" s="38"/>
      <c r="D84" s="38"/>
      <c r="E84" s="38"/>
      <c r="F84" s="11"/>
      <c r="G84" s="11"/>
    </row>
  </sheetData>
  <mergeCells count="4">
    <mergeCell ref="A1:F1"/>
    <mergeCell ref="A11:F11"/>
    <mergeCell ref="A25:F25"/>
    <mergeCell ref="A35:F35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 e Disponibilidade</vt:lpstr>
      <vt:lpstr>lognormal 1</vt:lpstr>
      <vt:lpstr>lognormal 2</vt:lpstr>
      <vt:lpstr>lognormal 3</vt:lpstr>
      <vt:lpstr>Otimização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Kort</dc:creator>
  <cp:lastModifiedBy>Lucas Kort</cp:lastModifiedBy>
  <dcterms:created xsi:type="dcterms:W3CDTF">2021-08-02T11:56:16Z</dcterms:created>
  <dcterms:modified xsi:type="dcterms:W3CDTF">2021-08-15T21:06:32Z</dcterms:modified>
</cp:coreProperties>
</file>