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 Kort\Documents\GitHub\reliabilty_ml\resultados\"/>
    </mc:Choice>
  </mc:AlternateContent>
  <xr:revisionPtr revIDLastSave="0" documentId="13_ncr:1_{1AA1656F-A1FC-43A4-9C0C-21B0AF58CBEC}" xr6:coauthVersionLast="47" xr6:coauthVersionMax="47" xr10:uidLastSave="{00000000-0000-0000-0000-000000000000}"/>
  <bookViews>
    <workbookView xWindow="-28920" yWindow="750" windowWidth="29040" windowHeight="15720" activeTab="4" xr2:uid="{D18CE87D-169E-4E84-B72A-2874F70A692B}"/>
  </bookViews>
  <sheets>
    <sheet name="Custo e Disponibilidade" sheetId="1" r:id="rId1"/>
    <sheet name="weibull 1" sheetId="2" r:id="rId2"/>
    <sheet name="weibull 2" sheetId="3" r:id="rId3"/>
    <sheet name="weibul 3" sheetId="4" r:id="rId4"/>
    <sheet name="Otimizaçã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5" l="1"/>
  <c r="G38" i="5"/>
  <c r="G37" i="5"/>
  <c r="P21" i="1"/>
  <c r="E2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/>
  <c r="C25" i="1"/>
  <c r="D25" i="1"/>
  <c r="C26" i="1"/>
  <c r="D26" i="1"/>
  <c r="E26" i="1"/>
  <c r="C27" i="1"/>
  <c r="D27" i="1"/>
  <c r="E27" i="1"/>
  <c r="D15" i="1"/>
  <c r="E15" i="1"/>
  <c r="C15" i="1"/>
  <c r="D11" i="1"/>
  <c r="M9" i="1"/>
  <c r="K24" i="1" s="1"/>
  <c r="G24" i="1"/>
  <c r="G13" i="1"/>
  <c r="H13" i="1" s="1"/>
  <c r="G15" i="1"/>
  <c r="H15" i="1" s="1"/>
  <c r="G16" i="1"/>
  <c r="H16" i="1" s="1"/>
  <c r="G17" i="1"/>
  <c r="G32" i="1" s="1"/>
  <c r="G11" i="1"/>
  <c r="B11" i="1"/>
  <c r="K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I36" i="1"/>
  <c r="I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G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M10" i="1"/>
  <c r="N10" i="1" s="1"/>
  <c r="M11" i="1"/>
  <c r="N11" i="1" s="1"/>
  <c r="M12" i="1"/>
  <c r="N12" i="1" s="1"/>
  <c r="M13" i="1"/>
  <c r="K28" i="1" s="1"/>
  <c r="M14" i="1"/>
  <c r="N14" i="1" s="1"/>
  <c r="M15" i="1"/>
  <c r="N15" i="1" s="1"/>
  <c r="M16" i="1"/>
  <c r="N16" i="1" s="1"/>
  <c r="M17" i="1"/>
  <c r="K32" i="1" s="1"/>
  <c r="N17" i="1"/>
  <c r="M18" i="1"/>
  <c r="N18" i="1" s="1"/>
  <c r="M19" i="1"/>
  <c r="N19" i="1" s="1"/>
  <c r="M20" i="1"/>
  <c r="N20" i="1" s="1"/>
  <c r="M21" i="1"/>
  <c r="N21" i="1" s="1"/>
  <c r="M22" i="1"/>
  <c r="N22" i="1" s="1"/>
  <c r="K4" i="1"/>
  <c r="K22" i="1"/>
  <c r="J21" i="1"/>
  <c r="K21" i="1" s="1"/>
  <c r="J18" i="1"/>
  <c r="I33" i="1" s="1"/>
  <c r="J17" i="1"/>
  <c r="I32" i="1" s="1"/>
  <c r="J16" i="1"/>
  <c r="I31" i="1" s="1"/>
  <c r="G9" i="1"/>
  <c r="G10" i="1"/>
  <c r="H10" i="1" s="1"/>
  <c r="G22" i="1"/>
  <c r="H22" i="1" s="1"/>
  <c r="J22" i="1"/>
  <c r="G12" i="1"/>
  <c r="H12" i="1" s="1"/>
  <c r="G18" i="1"/>
  <c r="H18" i="1" s="1"/>
  <c r="G19" i="1"/>
  <c r="H19" i="1" s="1"/>
  <c r="G20" i="1"/>
  <c r="H20" i="1" s="1"/>
  <c r="U8" i="5"/>
  <c r="U6" i="5"/>
  <c r="U4" i="5"/>
  <c r="C5" i="1"/>
  <c r="D5" i="1"/>
  <c r="C11" i="1"/>
  <c r="B2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9" i="3"/>
  <c r="B3" i="3"/>
  <c r="B2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8" i="3"/>
  <c r="B7" i="3"/>
  <c r="B6" i="3"/>
  <c r="B5" i="3"/>
  <c r="B4" i="3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5" i="1"/>
  <c r="N13" i="1" l="1"/>
  <c r="K36" i="1"/>
  <c r="K29" i="1"/>
  <c r="K35" i="1"/>
  <c r="K34" i="1"/>
  <c r="K26" i="1"/>
  <c r="N9" i="1"/>
  <c r="K33" i="1"/>
  <c r="K25" i="1"/>
  <c r="K27" i="1"/>
  <c r="K31" i="1"/>
  <c r="K30" i="1"/>
  <c r="G34" i="1"/>
  <c r="G25" i="1"/>
  <c r="J19" i="1"/>
  <c r="I34" i="1" s="1"/>
  <c r="J20" i="1"/>
  <c r="K20" i="1" s="1"/>
  <c r="K18" i="1"/>
  <c r="K17" i="1"/>
  <c r="K16" i="1"/>
  <c r="G33" i="1"/>
  <c r="G26" i="1"/>
  <c r="H11" i="1"/>
  <c r="G28" i="1"/>
  <c r="G27" i="1"/>
  <c r="G14" i="1"/>
  <c r="H14" i="1" s="1"/>
  <c r="G31" i="1"/>
  <c r="G30" i="1"/>
  <c r="G35" i="1"/>
  <c r="G21" i="1"/>
  <c r="G36" i="1" s="1"/>
  <c r="H17" i="1"/>
  <c r="C7" i="1"/>
  <c r="D7" i="1"/>
  <c r="B7" i="1"/>
  <c r="H9" i="1" s="1"/>
  <c r="I35" i="1" l="1"/>
  <c r="K19" i="1"/>
  <c r="G29" i="1"/>
  <c r="H21" i="1"/>
  <c r="K3" i="1"/>
  <c r="J15" i="1"/>
  <c r="J13" i="1"/>
  <c r="J14" i="1"/>
  <c r="J12" i="1"/>
  <c r="J9" i="1"/>
  <c r="J10" i="1"/>
  <c r="J11" i="1"/>
  <c r="G2" i="1"/>
  <c r="G3" i="1"/>
  <c r="G4" i="1"/>
  <c r="G5" i="1"/>
  <c r="G6" i="1"/>
  <c r="I3" i="1"/>
  <c r="I4" i="1"/>
  <c r="I2" i="1"/>
  <c r="I5" i="1"/>
  <c r="I6" i="1"/>
  <c r="K6" i="1"/>
  <c r="K2" i="1"/>
  <c r="K5" i="1"/>
  <c r="I24" i="1" l="1"/>
  <c r="K9" i="1"/>
  <c r="I29" i="1"/>
  <c r="K14" i="1"/>
  <c r="K13" i="1"/>
  <c r="I28" i="1"/>
  <c r="K12" i="1"/>
  <c r="I27" i="1"/>
  <c r="I30" i="1"/>
  <c r="K15" i="1"/>
  <c r="K11" i="1"/>
  <c r="I26" i="1"/>
  <c r="I25" i="1"/>
  <c r="K10" i="1"/>
</calcChain>
</file>

<file path=xl/sharedStrings.xml><?xml version="1.0" encoding="utf-8"?>
<sst xmlns="http://schemas.openxmlformats.org/spreadsheetml/2006/main" count="91" uniqueCount="58">
  <si>
    <t>Confiabilidade</t>
  </si>
  <si>
    <t>theta</t>
  </si>
  <si>
    <t>Tempo</t>
  </si>
  <si>
    <t>log(theta)</t>
  </si>
  <si>
    <t>Intervalo</t>
  </si>
  <si>
    <t>Disponibilidade</t>
  </si>
  <si>
    <t>Tm</t>
  </si>
  <si>
    <t>Tr</t>
  </si>
  <si>
    <t>Gamma</t>
  </si>
  <si>
    <t>MTTF</t>
  </si>
  <si>
    <t>Tempo 8</t>
  </si>
  <si>
    <t>Confiabilidade 8</t>
  </si>
  <si>
    <t>Tempo 9</t>
  </si>
  <si>
    <t>Confiabilidade 9</t>
  </si>
  <si>
    <t>Tempo 10</t>
  </si>
  <si>
    <t>Confiabilidade 10</t>
  </si>
  <si>
    <t>Intervalo 8</t>
  </si>
  <si>
    <t>Custos 8</t>
  </si>
  <si>
    <t>Intervalo 9</t>
  </si>
  <si>
    <t>Custos 9</t>
  </si>
  <si>
    <t>Intervalo 10</t>
  </si>
  <si>
    <t>Custos 10</t>
  </si>
  <si>
    <t>Disponibilidade 8</t>
  </si>
  <si>
    <t>Disponibilidade 9</t>
  </si>
  <si>
    <t>Disponibilidade 10</t>
  </si>
  <si>
    <t>Distri. 8</t>
  </si>
  <si>
    <t>Distri. 9</t>
  </si>
  <si>
    <t>Distri. 10</t>
  </si>
  <si>
    <t>Dados</t>
  </si>
  <si>
    <t>C. manuteção</t>
  </si>
  <si>
    <t>C. reparo</t>
  </si>
  <si>
    <t>C. incidente</t>
  </si>
  <si>
    <t>Tempo serviço</t>
  </si>
  <si>
    <t>Theta</t>
  </si>
  <si>
    <t>Custo</t>
  </si>
  <si>
    <t>Restrição</t>
  </si>
  <si>
    <t>Tempo de execução</t>
  </si>
  <si>
    <t>Distribuição 9  - Restrito por disponibilidade</t>
  </si>
  <si>
    <t>Distribuição 10  - Restrito por disponibilidade</t>
  </si>
  <si>
    <t>Distribuição</t>
  </si>
  <si>
    <t>Distribuição 8,9,10  - Restrito por confiabilidade 0.95</t>
  </si>
  <si>
    <t>Distribuição 8  - Restrito por disponibilidade</t>
  </si>
  <si>
    <t>Parâmetro</t>
  </si>
  <si>
    <t>Distribuição 8</t>
  </si>
  <si>
    <t>Distribuição 9</t>
  </si>
  <si>
    <t>Distribuição 10</t>
  </si>
  <si>
    <t>N° de iterações</t>
  </si>
  <si>
    <t>N° de particulas</t>
  </si>
  <si>
    <t>Tolerância</t>
  </si>
  <si>
    <t>Espaço de busca</t>
  </si>
  <si>
    <t>PSO w; c1, c2</t>
  </si>
  <si>
    <t>[1,270]</t>
  </si>
  <si>
    <t>[1,1910]</t>
  </si>
  <si>
    <t>[1,9650]</t>
  </si>
  <si>
    <t>0,5; 1,2; 1,2</t>
  </si>
  <si>
    <t>0.5; 1,2; 1.2</t>
  </si>
  <si>
    <t>0.5; 1,2; 1.3</t>
  </si>
  <si>
    <t>Custo mínimo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</si>
</sst>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000E+00"/>
    <numFmt numFmtId="166" formatCode="#,##0.0000"/>
    <numFmt numFmtId="167" formatCode="0.000000000"/>
    <numFmt numFmtId="168" formatCode="_-[$R$-416]\ * #,##0.00_-;\-[$R$-416]\ * #,##0.00_-;_-[$R$-416]\ * &quot;-&quot;??_-;_-@_-"/>
    <numFmt numFmtId="169" formatCode="0.0000%"/>
    <numFmt numFmtId="170" formatCode="0.00000E+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74999237037263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Fill="1"/>
    <xf numFmtId="165" fontId="5" fillId="0" borderId="0" xfId="0" applyNumberFormat="1" applyFont="1" applyFill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166" fontId="4" fillId="0" borderId="0" xfId="0" applyNumberFormat="1" applyFont="1" applyFill="1" applyAlignment="1">
      <alignment horizontal="center" vertical="center" wrapText="1"/>
    </xf>
    <xf numFmtId="166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166" fontId="5" fillId="0" borderId="0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169" fontId="0" fillId="0" borderId="0" xfId="1" applyNumberFormat="1" applyFont="1" applyFill="1"/>
    <xf numFmtId="168" fontId="0" fillId="0" borderId="0" xfId="0" applyNumberFormat="1" applyFill="1"/>
    <xf numFmtId="0" fontId="0" fillId="0" borderId="0" xfId="0" applyFill="1" applyBorder="1"/>
    <xf numFmtId="0" fontId="5" fillId="4" borderId="2" xfId="0" applyFont="1" applyFill="1" applyBorder="1"/>
    <xf numFmtId="0" fontId="5" fillId="0" borderId="0" xfId="0" applyFont="1"/>
    <xf numFmtId="0" fontId="3" fillId="0" borderId="1" xfId="0" applyFont="1" applyBorder="1" applyAlignment="1">
      <alignment horizontal="center" vertical="top"/>
    </xf>
    <xf numFmtId="0" fontId="0" fillId="6" borderId="4" xfId="0" applyFont="1" applyFill="1" applyBorder="1"/>
    <xf numFmtId="0" fontId="0" fillId="0" borderId="4" xfId="0" applyFont="1" applyBorder="1"/>
    <xf numFmtId="0" fontId="0" fillId="6" borderId="3" xfId="0" applyFont="1" applyFill="1" applyBorder="1"/>
    <xf numFmtId="0" fontId="0" fillId="0" borderId="3" xfId="0" applyFont="1" applyBorder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5" xfId="0" applyFont="1" applyFill="1" applyBorder="1"/>
    <xf numFmtId="0" fontId="0" fillId="0" borderId="5" xfId="0" applyFont="1" applyBorder="1"/>
    <xf numFmtId="164" fontId="0" fillId="0" borderId="0" xfId="0" applyNumberFormat="1"/>
    <xf numFmtId="170" fontId="0" fillId="0" borderId="0" xfId="0" applyNumberFormat="1"/>
    <xf numFmtId="0" fontId="0" fillId="0" borderId="0" xfId="0" applyFont="1"/>
    <xf numFmtId="164" fontId="0" fillId="0" borderId="0" xfId="0" applyNumberFormat="1" applyFont="1"/>
    <xf numFmtId="0" fontId="6" fillId="0" borderId="0" xfId="0" applyFont="1" applyFill="1" applyAlignment="1"/>
    <xf numFmtId="164" fontId="0" fillId="6" borderId="4" xfId="0" applyNumberFormat="1" applyFont="1" applyFill="1" applyBorder="1"/>
    <xf numFmtId="164" fontId="0" fillId="0" borderId="4" xfId="0" applyNumberFormat="1" applyFont="1" applyBorder="1"/>
    <xf numFmtId="0" fontId="2" fillId="5" borderId="6" xfId="0" applyFont="1" applyFill="1" applyBorder="1"/>
    <xf numFmtId="0" fontId="2" fillId="5" borderId="7" xfId="0" applyFont="1" applyFill="1" applyBorder="1"/>
    <xf numFmtId="0" fontId="2" fillId="5" borderId="8" xfId="0" applyFont="1" applyFill="1" applyBorder="1"/>
    <xf numFmtId="11" fontId="0" fillId="0" borderId="0" xfId="0" applyNumberFormat="1"/>
    <xf numFmtId="3" fontId="0" fillId="0" borderId="0" xfId="0" applyNumberFormat="1"/>
    <xf numFmtId="9" fontId="0" fillId="0" borderId="0" xfId="1" applyFont="1"/>
    <xf numFmtId="0" fontId="6" fillId="7" borderId="0" xfId="0" applyFont="1" applyFill="1" applyAlignment="1">
      <alignment horizontal="center"/>
    </xf>
    <xf numFmtId="0" fontId="5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Border="1"/>
    <xf numFmtId="0" fontId="0" fillId="0" borderId="0" xfId="0" applyFont="1" applyFill="1" applyBorder="1"/>
    <xf numFmtId="164" fontId="0" fillId="0" borderId="0" xfId="0" applyNumberFormat="1" applyFont="1" applyFill="1" applyBorder="1"/>
    <xf numFmtId="164" fontId="0" fillId="0" borderId="0" xfId="0" applyNumberFormat="1" applyFill="1" applyBorder="1"/>
    <xf numFmtId="169" fontId="0" fillId="0" borderId="0" xfId="1" applyNumberFormat="1" applyFont="1"/>
  </cellXfs>
  <cellStyles count="2">
    <cellStyle name="Normal" xfId="0" builtinId="0"/>
    <cellStyle name="Porcentagem" xfId="1" builtinId="5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0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0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0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alignment horizontal="center" vertical="bottom" textRotation="0" wrapText="0" indent="0" justifyLastLine="0" shrinkToFit="0" readingOrder="0"/>
    </dxf>
    <dxf>
      <numFmt numFmtId="168" formatCode="_-[$R$-416]\ * #,##0.00_-;\-[$R$-416]\ * #,##0.00_-;_-[$R$-416]\ * &quot;-&quot;??_-;_-@_-"/>
      <fill>
        <patternFill patternType="none">
          <fgColor indexed="64"/>
          <bgColor auto="1"/>
        </patternFill>
      </fill>
    </dxf>
    <dxf>
      <numFmt numFmtId="167" formatCode="0.000000000"/>
    </dxf>
    <dxf>
      <numFmt numFmtId="168" formatCode="_-[$R$-416]\ * #,##0.00_-;\-[$R$-416]\ * #,##0.00_-;_-[$R$-416]\ * &quot;-&quot;??_-;_-@_-"/>
      <fill>
        <patternFill patternType="none">
          <fgColor indexed="64"/>
          <bgColor auto="1"/>
        </patternFill>
      </fill>
    </dxf>
    <dxf>
      <numFmt numFmtId="168" formatCode="_-[$R$-416]\ * #,##0.00_-;\-[$R$-416]\ * #,##0.00_-;_-[$R$-416]\ 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6" formatCode="#,##0.0000"/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6" formatCode="#,##0.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6" formatCode="#,##0.000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0.0000"/>
    </dxf>
    <dxf>
      <numFmt numFmtId="164" formatCode="0.0000"/>
    </dxf>
    <dxf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Custo estimado de operação - distribuição 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'Custo e Disponibilidade'!$H$8</c:f>
              <c:strCache>
                <c:ptCount val="1"/>
                <c:pt idx="0">
                  <c:v>Custos 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'Custo e Disponibilidade'!$F$9:$F$21</c:f>
              <c:numCache>
                <c:formatCode>General</c:formatCode>
                <c:ptCount val="13"/>
                <c:pt idx="0">
                  <c:v>4.2779571692307696</c:v>
                </c:pt>
                <c:pt idx="1">
                  <c:v>8.5559143384615393</c:v>
                </c:pt>
                <c:pt idx="2">
                  <c:v>12.83387150769231</c:v>
                </c:pt>
                <c:pt idx="3">
                  <c:v>17.111828676923079</c:v>
                </c:pt>
                <c:pt idx="4">
                  <c:v>21.389785846153849</c:v>
                </c:pt>
                <c:pt idx="5">
                  <c:v>25.66774301538462</c:v>
                </c:pt>
                <c:pt idx="6" formatCode="#,##0.0000">
                  <c:v>29.945700184615387</c:v>
                </c:pt>
                <c:pt idx="7">
                  <c:v>34.223657353846157</c:v>
                </c:pt>
                <c:pt idx="8">
                  <c:v>38.501614523076924</c:v>
                </c:pt>
                <c:pt idx="9">
                  <c:v>42.779571692307698</c:v>
                </c:pt>
                <c:pt idx="10">
                  <c:v>47.057528861538465</c:v>
                </c:pt>
                <c:pt idx="11">
                  <c:v>51.335486030769239</c:v>
                </c:pt>
                <c:pt idx="12">
                  <c:v>55.613443200000006</c:v>
                </c:pt>
              </c:numCache>
            </c:numRef>
          </c:xVal>
          <c:yVal>
            <c:numRef>
              <c:f>'Custo e Disponibilidade'!$H$9:$H$21</c:f>
              <c:numCache>
                <c:formatCode>_-[$R$-416]\ * #,##0.00_-;\-[$R$-416]\ * #,##0.00_-;_-[$R$-416]\ * "-"??_-;_-@_-</c:formatCode>
                <c:ptCount val="13"/>
                <c:pt idx="0">
                  <c:v>20514588.424851287</c:v>
                </c:pt>
                <c:pt idx="1">
                  <c:v>10756477.159373853</c:v>
                </c:pt>
                <c:pt idx="2">
                  <c:v>8771415.3300136812</c:v>
                </c:pt>
                <c:pt idx="3">
                  <c:v>9782394.2551153488</c:v>
                </c:pt>
                <c:pt idx="4">
                  <c:v>12802768.710466873</c:v>
                </c:pt>
                <c:pt idx="5">
                  <c:v>17137334.464237105</c:v>
                </c:pt>
                <c:pt idx="6">
                  <c:v>21957638.612083849</c:v>
                </c:pt>
                <c:pt idx="7">
                  <c:v>26412186.424304198</c:v>
                </c:pt>
                <c:pt idx="8">
                  <c:v>29884083.298306573</c:v>
                </c:pt>
                <c:pt idx="9">
                  <c:v>32164215.042835187</c:v>
                </c:pt>
                <c:pt idx="10">
                  <c:v>33416991.25504167</c:v>
                </c:pt>
                <c:pt idx="11">
                  <c:v>33987013.535350293</c:v>
                </c:pt>
                <c:pt idx="12">
                  <c:v>34199278.029935673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F6-4B2A-B949-DD7BBB575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118463"/>
        <c:axId val="1510119295"/>
      </c:scatterChart>
      <c:valAx>
        <c:axId val="1510118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0119295"/>
        <c:crosses val="autoZero"/>
        <c:crossBetween val="midCat"/>
      </c:valAx>
      <c:valAx>
        <c:axId val="151011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0118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Custo estimado de operação - distribuição 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'Custo e Disponibilidade'!$K$8</c:f>
              <c:strCache>
                <c:ptCount val="1"/>
                <c:pt idx="0">
                  <c:v>Custos 9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'Custo e Disponibilidade'!$I$9:$I$21</c:f>
              <c:numCache>
                <c:formatCode>General</c:formatCode>
                <c:ptCount val="13"/>
                <c:pt idx="0">
                  <c:v>29.428629538461539</c:v>
                </c:pt>
                <c:pt idx="1">
                  <c:v>58.857259076923079</c:v>
                </c:pt>
                <c:pt idx="2">
                  <c:v>88.285888615384621</c:v>
                </c:pt>
                <c:pt idx="3">
                  <c:v>117.71451815384616</c:v>
                </c:pt>
                <c:pt idx="4">
                  <c:v>147.14314769230771</c:v>
                </c:pt>
                <c:pt idx="5">
                  <c:v>176.57177723076924</c:v>
                </c:pt>
                <c:pt idx="6" formatCode="#,##0.0000">
                  <c:v>206.00040676923075</c:v>
                </c:pt>
                <c:pt idx="7">
                  <c:v>235.42903630769231</c:v>
                </c:pt>
                <c:pt idx="8">
                  <c:v>264.85766584615385</c:v>
                </c:pt>
                <c:pt idx="9">
                  <c:v>294.28629538461541</c:v>
                </c:pt>
                <c:pt idx="10">
                  <c:v>323.71492492307692</c:v>
                </c:pt>
                <c:pt idx="11">
                  <c:v>353.14355446153849</c:v>
                </c:pt>
                <c:pt idx="12">
                  <c:v>382.57218399999999</c:v>
                </c:pt>
              </c:numCache>
            </c:numRef>
          </c:xVal>
          <c:yVal>
            <c:numRef>
              <c:f>'Custo e Disponibilidade'!$K$9:$K$21</c:f>
              <c:numCache>
                <c:formatCode>_-[$R$-416]\ * #,##0.00_-;\-[$R$-416]\ * #,##0.00_-;_-[$R$-416]\ * "-"??_-;_-@_-</c:formatCode>
                <c:ptCount val="13"/>
                <c:pt idx="0">
                  <c:v>2996267.675504338</c:v>
                </c:pt>
                <c:pt idx="1">
                  <c:v>1646204.0781222254</c:v>
                </c:pt>
                <c:pt idx="2">
                  <c:v>1394203.7843265107</c:v>
                </c:pt>
                <c:pt idx="3">
                  <c:v>1475433.8739618803</c:v>
                </c:pt>
                <c:pt idx="4">
                  <c:v>1715363.5279068667</c:v>
                </c:pt>
                <c:pt idx="5">
                  <c:v>2036821.2502637329</c:v>
                </c:pt>
                <c:pt idx="6">
                  <c:v>2392193.3987830915</c:v>
                </c:pt>
                <c:pt idx="7">
                  <c:v>2748218.3623261135</c:v>
                </c:pt>
                <c:pt idx="8">
                  <c:v>3081732.9812665568</c:v>
                </c:pt>
                <c:pt idx="9">
                  <c:v>3377998.7921709288</c:v>
                </c:pt>
                <c:pt idx="10">
                  <c:v>3629433.8950120625</c:v>
                </c:pt>
                <c:pt idx="11">
                  <c:v>3834213.8267011582</c:v>
                </c:pt>
                <c:pt idx="12">
                  <c:v>3994732.006955443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AA-4E71-9431-38B40655A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328159"/>
        <c:axId val="1534330239"/>
      </c:scatterChart>
      <c:valAx>
        <c:axId val="153432815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4330239"/>
        <c:crosses val="autoZero"/>
        <c:crossBetween val="midCat"/>
      </c:valAx>
      <c:valAx>
        <c:axId val="153433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4328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</a:t>
            </a:r>
            <a:r>
              <a:rPr lang="en-US" baseline="0"/>
              <a:t> estimado de operação - distribuição 10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'Custo e Disponibilidade'!$N$8</c:f>
              <c:strCache>
                <c:ptCount val="1"/>
                <c:pt idx="0">
                  <c:v>Custos 10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'Custo e Disponibilidade'!$L$9:$L$22</c:f>
              <c:numCache>
                <c:formatCode>General</c:formatCode>
                <c:ptCount val="14"/>
                <c:pt idx="0">
                  <c:v>148.54062461538462</c:v>
                </c:pt>
                <c:pt idx="1">
                  <c:v>297.08124923076923</c:v>
                </c:pt>
                <c:pt idx="2">
                  <c:v>445.62187384615379</c:v>
                </c:pt>
                <c:pt idx="3">
                  <c:v>594.16249846153846</c:v>
                </c:pt>
                <c:pt idx="4">
                  <c:v>742.70312307692302</c:v>
                </c:pt>
                <c:pt idx="5">
                  <c:v>891.24374769230758</c:v>
                </c:pt>
                <c:pt idx="6" formatCode="#,##0.0000">
                  <c:v>1039.7843723076921</c:v>
                </c:pt>
                <c:pt idx="7">
                  <c:v>1188.3249969230769</c:v>
                </c:pt>
                <c:pt idx="8">
                  <c:v>1336.8656215384613</c:v>
                </c:pt>
                <c:pt idx="9">
                  <c:v>1485.406246153846</c:v>
                </c:pt>
                <c:pt idx="10">
                  <c:v>1633.9468707692306</c:v>
                </c:pt>
                <c:pt idx="11">
                  <c:v>1782.4874953846152</c:v>
                </c:pt>
                <c:pt idx="12">
                  <c:v>1931.0281199999997</c:v>
                </c:pt>
                <c:pt idx="13">
                  <c:v>9650</c:v>
                </c:pt>
              </c:numCache>
            </c:numRef>
          </c:xVal>
          <c:yVal>
            <c:numRef>
              <c:f>'Custo e Disponibilidade'!$N$9:$N$21</c:f>
              <c:numCache>
                <c:formatCode>_-[$R$-416]\ * #,##0.00_-;\-[$R$-416]\ * #,##0.00_-;_-[$R$-416]\ * "-"??_-;_-@_-</c:formatCode>
                <c:ptCount val="13"/>
                <c:pt idx="0">
                  <c:v>593734.16579679609</c:v>
                </c:pt>
                <c:pt idx="1">
                  <c:v>329805.15518580982</c:v>
                </c:pt>
                <c:pt idx="2">
                  <c:v>300493.80187593552</c:v>
                </c:pt>
                <c:pt idx="3">
                  <c:v>358762.50158840569</c:v>
                </c:pt>
                <c:pt idx="4">
                  <c:v>466450.74618054874</c:v>
                </c:pt>
                <c:pt idx="5">
                  <c:v>598457.37766083318</c:v>
                </c:pt>
                <c:pt idx="6">
                  <c:v>732983.95925005362</c:v>
                </c:pt>
                <c:pt idx="7">
                  <c:v>852836.09589643008</c:v>
                </c:pt>
                <c:pt idx="8">
                  <c:v>947772.17807765282</c:v>
                </c:pt>
                <c:pt idx="9">
                  <c:v>1015050.4673928233</c:v>
                </c:pt>
                <c:pt idx="10">
                  <c:v>1057786.551289618</c:v>
                </c:pt>
                <c:pt idx="11">
                  <c:v>1082114.2369922921</c:v>
                </c:pt>
                <c:pt idx="12">
                  <c:v>1094508.5100133664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53-462E-9CF8-380C9585C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491199"/>
        <c:axId val="1418494111"/>
      </c:scatterChart>
      <c:valAx>
        <c:axId val="1418491199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8494111"/>
        <c:crosses val="autoZero"/>
        <c:crossBetween val="midCat"/>
      </c:valAx>
      <c:valAx>
        <c:axId val="141849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8491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Disponibilidade</a:t>
            </a:r>
            <a:r>
              <a:rPr lang="en-US" sz="1400" b="0" i="0" u="none" strike="noStrike" baseline="0">
                <a:effectLst/>
              </a:rPr>
              <a:t> - distribuição 8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'Custo e Disponibilidade'!$F$24:$F$36</c:f>
              <c:numCache>
                <c:formatCode>General</c:formatCode>
                <c:ptCount val="13"/>
                <c:pt idx="0">
                  <c:v>3.1941130000000002</c:v>
                </c:pt>
                <c:pt idx="1">
                  <c:v>7.9852825000000003</c:v>
                </c:pt>
                <c:pt idx="2">
                  <c:v>11.1793955</c:v>
                </c:pt>
                <c:pt idx="3">
                  <c:v>15.970565000000001</c:v>
                </c:pt>
                <c:pt idx="4">
                  <c:v>19.164677999999999</c:v>
                </c:pt>
                <c:pt idx="5">
                  <c:v>23.955847500000001</c:v>
                </c:pt>
                <c:pt idx="6" formatCode="#,##0.0000">
                  <c:v>31.941130000000001</c:v>
                </c:pt>
                <c:pt idx="7">
                  <c:v>39.926412499999998</c:v>
                </c:pt>
                <c:pt idx="8">
                  <c:v>43.120525500000007</c:v>
                </c:pt>
                <c:pt idx="9">
                  <c:v>47.911695000000002</c:v>
                </c:pt>
                <c:pt idx="10">
                  <c:v>51.105808000000003</c:v>
                </c:pt>
                <c:pt idx="11">
                  <c:v>55.896977500000006</c:v>
                </c:pt>
                <c:pt idx="12">
                  <c:v>63.882260000000002</c:v>
                </c:pt>
              </c:numCache>
            </c:numRef>
          </c:xVal>
          <c:yVal>
            <c:numRef>
              <c:f>'Custo e Disponibilidade'!$G$24:$G$36</c:f>
              <c:numCache>
                <c:formatCode>0.0000%</c:formatCode>
                <c:ptCount val="13"/>
                <c:pt idx="0">
                  <c:v>0.89458934293464332</c:v>
                </c:pt>
                <c:pt idx="1">
                  <c:v>0.94142825939374353</c:v>
                </c:pt>
                <c:pt idx="2">
                  <c:v>0.95488895637756865</c:v>
                </c:pt>
                <c:pt idx="3">
                  <c:v>0.95855561789519772</c:v>
                </c:pt>
                <c:pt idx="4">
                  <c:v>0.95821790566321796</c:v>
                </c:pt>
                <c:pt idx="5">
                  <c:v>0.95651491515646037</c:v>
                </c:pt>
                <c:pt idx="6">
                  <c:v>0.95501842356223288</c:v>
                </c:pt>
                <c:pt idx="7">
                  <c:v>0.95459384753239362</c:v>
                </c:pt>
                <c:pt idx="8">
                  <c:v>0.95548142986082374</c:v>
                </c:pt>
                <c:pt idx="9">
                  <c:v>0.95744372277940337</c:v>
                </c:pt>
                <c:pt idx="10">
                  <c:v>0.96001456343819991</c:v>
                </c:pt>
                <c:pt idx="11">
                  <c:v>0.96274655022283673</c:v>
                </c:pt>
                <c:pt idx="12">
                  <c:v>0.96534930739566094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68-45E9-A612-4C460DC5F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893663"/>
        <c:axId val="1513904479"/>
      </c:scatterChart>
      <c:valAx>
        <c:axId val="151389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3904479"/>
        <c:crosses val="autoZero"/>
        <c:crossBetween val="midCat"/>
      </c:valAx>
      <c:valAx>
        <c:axId val="151390447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3893663"/>
        <c:crosses val="autoZero"/>
        <c:crossBetween val="midCat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baseline="0">
                <a:effectLst/>
              </a:rPr>
              <a:t>Disponibilidade</a:t>
            </a:r>
            <a:r>
              <a:rPr lang="en-US" sz="1400" b="0" i="0" u="none" strike="noStrike" baseline="0">
                <a:effectLst/>
              </a:rPr>
              <a:t> - distribuição 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'Custo e Disponibilidade'!$H$24:$H$36</c:f>
              <c:numCache>
                <c:formatCode>General</c:formatCode>
                <c:ptCount val="13"/>
                <c:pt idx="0">
                  <c:v>3.219796266420865E-2</c:v>
                </c:pt>
                <c:pt idx="1">
                  <c:v>8.0494906660521615E-2</c:v>
                </c:pt>
                <c:pt idx="2">
                  <c:v>0.11269286932473026</c:v>
                </c:pt>
                <c:pt idx="3">
                  <c:v>0.16098981332104323</c:v>
                </c:pt>
                <c:pt idx="4">
                  <c:v>0.19318777598525186</c:v>
                </c:pt>
                <c:pt idx="5">
                  <c:v>0.24148471998156484</c:v>
                </c:pt>
                <c:pt idx="6" formatCode="#,##0.0000">
                  <c:v>0.32197962664208646</c:v>
                </c:pt>
                <c:pt idx="7">
                  <c:v>0.40247453330260807</c:v>
                </c:pt>
                <c:pt idx="8">
                  <c:v>0.43467249596681673</c:v>
                </c:pt>
                <c:pt idx="9">
                  <c:v>0.48296943996312969</c:v>
                </c:pt>
                <c:pt idx="10">
                  <c:v>0.5151674026273384</c:v>
                </c:pt>
                <c:pt idx="11">
                  <c:v>0.5634643466236513</c:v>
                </c:pt>
                <c:pt idx="12">
                  <c:v>0.64395925328417292</c:v>
                </c:pt>
              </c:numCache>
            </c:numRef>
          </c:xVal>
          <c:yVal>
            <c:numRef>
              <c:f>'Custo e Disponibilidade'!$I$24:$I$36</c:f>
              <c:numCache>
                <c:formatCode>0.0000%</c:formatCode>
                <c:ptCount val="13"/>
                <c:pt idx="0">
                  <c:v>0.8286918916826268</c:v>
                </c:pt>
                <c:pt idx="1">
                  <c:v>0.90293373398052412</c:v>
                </c:pt>
                <c:pt idx="2">
                  <c:v>0.92935254499266362</c:v>
                </c:pt>
                <c:pt idx="3">
                  <c:v>0.9423169219498847</c:v>
                </c:pt>
                <c:pt idx="4">
                  <c:v>0.94981676855864605</c:v>
                </c:pt>
                <c:pt idx="5">
                  <c:v>0.95469935816466855</c:v>
                </c:pt>
                <c:pt idx="6">
                  <c:v>0.95821995529796222</c:v>
                </c:pt>
                <c:pt idx="7">
                  <c:v>0.96099916410404029</c:v>
                </c:pt>
                <c:pt idx="8">
                  <c:v>0.96336046362779171</c:v>
                </c:pt>
                <c:pt idx="9">
                  <c:v>0.96547339360701712</c:v>
                </c:pt>
                <c:pt idx="10">
                  <c:v>0.96742341717639857</c:v>
                </c:pt>
                <c:pt idx="11">
                  <c:v>0.96924973245178958</c:v>
                </c:pt>
                <c:pt idx="12">
                  <c:v>0.97096711636603084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4A-42F1-A07B-CBA3267B2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438783"/>
        <c:axId val="2060768799"/>
      </c:scatterChart>
      <c:valAx>
        <c:axId val="1524438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0768799"/>
        <c:crosses val="autoZero"/>
        <c:crossBetween val="midCat"/>
      </c:valAx>
      <c:valAx>
        <c:axId val="2060768799"/>
        <c:scaling>
          <c:orientation val="minMax"/>
          <c:max val="1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4438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baseline="0">
                <a:effectLst/>
              </a:rPr>
              <a:t>Disponibilidade</a:t>
            </a:r>
            <a:r>
              <a:rPr lang="en-US" sz="1400" b="0" i="0" u="none" strike="noStrike" baseline="0">
                <a:effectLst/>
              </a:rPr>
              <a:t> - distribuição 10</a:t>
            </a:r>
            <a:endParaRPr lang="pt-B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'Custo e Disponibilidade'!$J$24:$J$36</c:f>
              <c:numCache>
                <c:formatCode>General</c:formatCode>
                <c:ptCount val="13"/>
                <c:pt idx="0">
                  <c:v>24.983310000000003</c:v>
                </c:pt>
                <c:pt idx="1">
                  <c:v>62.458275</c:v>
                </c:pt>
                <c:pt idx="2">
                  <c:v>87.441584999999989</c:v>
                </c:pt>
                <c:pt idx="3">
                  <c:v>124.91655</c:v>
                </c:pt>
                <c:pt idx="4">
                  <c:v>149.89985999999999</c:v>
                </c:pt>
                <c:pt idx="5">
                  <c:v>187.37482499999999</c:v>
                </c:pt>
                <c:pt idx="6" formatCode="#,##0.0000">
                  <c:v>249.8331</c:v>
                </c:pt>
                <c:pt idx="7">
                  <c:v>312.29137500000002</c:v>
                </c:pt>
                <c:pt idx="8">
                  <c:v>337.27468500000003</c:v>
                </c:pt>
                <c:pt idx="9">
                  <c:v>374.74964999999997</c:v>
                </c:pt>
                <c:pt idx="10">
                  <c:v>399.73296000000005</c:v>
                </c:pt>
                <c:pt idx="11">
                  <c:v>437.20792499999999</c:v>
                </c:pt>
                <c:pt idx="12">
                  <c:v>499.6662</c:v>
                </c:pt>
              </c:numCache>
            </c:numRef>
          </c:xVal>
          <c:yVal>
            <c:numRef>
              <c:f>'Custo e Disponibilidade'!$K$24:$K$36</c:f>
              <c:numCache>
                <c:formatCode>0.0000%</c:formatCode>
                <c:ptCount val="13"/>
                <c:pt idx="0">
                  <c:v>0.97298377996998875</c:v>
                </c:pt>
                <c:pt idx="1">
                  <c:v>0.9844546304937043</c:v>
                </c:pt>
                <c:pt idx="2">
                  <c:v>0.98707949531623773</c:v>
                </c:pt>
                <c:pt idx="3">
                  <c:v>0.98747516659242274</c:v>
                </c:pt>
                <c:pt idx="4">
                  <c:v>0.98716427494057946</c:v>
                </c:pt>
                <c:pt idx="5">
                  <c:v>0.98675799411608911</c:v>
                </c:pt>
                <c:pt idx="6">
                  <c:v>0.98654370198970243</c:v>
                </c:pt>
                <c:pt idx="7">
                  <c:v>0.98662940663219278</c:v>
                </c:pt>
                <c:pt idx="8">
                  <c:v>0.98700747300347214</c:v>
                </c:pt>
                <c:pt idx="9">
                  <c:v>0.98760452117578024</c:v>
                </c:pt>
                <c:pt idx="10">
                  <c:v>0.98832507425315386</c:v>
                </c:pt>
                <c:pt idx="11">
                  <c:v>0.98908330404883282</c:v>
                </c:pt>
                <c:pt idx="12">
                  <c:v>0.98981890364758585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B3-4AEA-BB8B-E177C0371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273007"/>
        <c:axId val="1535280079"/>
      </c:scatterChart>
      <c:valAx>
        <c:axId val="1535273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5280079"/>
        <c:crosses val="autoZero"/>
        <c:crossBetween val="midCat"/>
      </c:valAx>
      <c:valAx>
        <c:axId val="153528007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5273007"/>
        <c:crosses val="autoZero"/>
        <c:crossBetween val="midCat"/>
        <c:minorUnit val="1.0000000000000002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Confiabilidade</a:t>
            </a:r>
            <a:r>
              <a:rPr lang="pt-BR" baseline="0"/>
              <a:t> - distribuição 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'weibull 1'!$A$2:$A$102</c:f>
              <c:numCache>
                <c:formatCode>General</c:formatCode>
                <c:ptCount val="101"/>
                <c:pt idx="0">
                  <c:v>0</c:v>
                </c:pt>
                <c:pt idx="1">
                  <c:v>6.5516768745981953</c:v>
                </c:pt>
                <c:pt idx="2">
                  <c:v>7.5775657616025187</c:v>
                </c:pt>
                <c:pt idx="3">
                  <c:v>10.16320850032136</c:v>
                </c:pt>
                <c:pt idx="4">
                  <c:v>11.389333650955921</c:v>
                </c:pt>
                <c:pt idx="5">
                  <c:v>11.50828146085134</c:v>
                </c:pt>
                <c:pt idx="6">
                  <c:v>11.734799796700599</c:v>
                </c:pt>
                <c:pt idx="7">
                  <c:v>12.10587486120896</c:v>
                </c:pt>
                <c:pt idx="8">
                  <c:v>12.12778124726171</c:v>
                </c:pt>
                <c:pt idx="9">
                  <c:v>12.7774598151615</c:v>
                </c:pt>
                <c:pt idx="10">
                  <c:v>13.06500038672583</c:v>
                </c:pt>
                <c:pt idx="11">
                  <c:v>13.867803227198941</c:v>
                </c:pt>
                <c:pt idx="12">
                  <c:v>15.224208342532259</c:v>
                </c:pt>
                <c:pt idx="13">
                  <c:v>15.76562182470493</c:v>
                </c:pt>
                <c:pt idx="14">
                  <c:v>15.796252896969809</c:v>
                </c:pt>
                <c:pt idx="15">
                  <c:v>16.38025351114474</c:v>
                </c:pt>
                <c:pt idx="16">
                  <c:v>16.92977742029592</c:v>
                </c:pt>
                <c:pt idx="17">
                  <c:v>17.489765375955159</c:v>
                </c:pt>
                <c:pt idx="18">
                  <c:v>17.516902410534978</c:v>
                </c:pt>
                <c:pt idx="19">
                  <c:v>17.595856460274991</c:v>
                </c:pt>
                <c:pt idx="20">
                  <c:v>17.729868316751801</c:v>
                </c:pt>
                <c:pt idx="21">
                  <c:v>19.61993403238079</c:v>
                </c:pt>
                <c:pt idx="22">
                  <c:v>19.824644961165578</c:v>
                </c:pt>
                <c:pt idx="23">
                  <c:v>20.231170283216581</c:v>
                </c:pt>
                <c:pt idx="24">
                  <c:v>20.31923549672274</c:v>
                </c:pt>
                <c:pt idx="25">
                  <c:v>20.681758648924919</c:v>
                </c:pt>
                <c:pt idx="26">
                  <c:v>20.68346530709287</c:v>
                </c:pt>
                <c:pt idx="27">
                  <c:v>20.876964806810381</c:v>
                </c:pt>
                <c:pt idx="28">
                  <c:v>22.081088785543159</c:v>
                </c:pt>
                <c:pt idx="29">
                  <c:v>22.314882225904409</c:v>
                </c:pt>
                <c:pt idx="30">
                  <c:v>22.33177372034406</c:v>
                </c:pt>
                <c:pt idx="31">
                  <c:v>22.451362631685519</c:v>
                </c:pt>
                <c:pt idx="32">
                  <c:v>22.517916876285419</c:v>
                </c:pt>
                <c:pt idx="33">
                  <c:v>22.6659396044411</c:v>
                </c:pt>
                <c:pt idx="34">
                  <c:v>23.073230708133341</c:v>
                </c:pt>
                <c:pt idx="35">
                  <c:v>23.564326565536529</c:v>
                </c:pt>
                <c:pt idx="36">
                  <c:v>23.57024924920902</c:v>
                </c:pt>
                <c:pt idx="37">
                  <c:v>23.72359340063338</c:v>
                </c:pt>
                <c:pt idx="38">
                  <c:v>23.73049678767941</c:v>
                </c:pt>
                <c:pt idx="39">
                  <c:v>23.839162150053351</c:v>
                </c:pt>
                <c:pt idx="40">
                  <c:v>24.051247193458739</c:v>
                </c:pt>
                <c:pt idx="41">
                  <c:v>24.16792556379102</c:v>
                </c:pt>
                <c:pt idx="42">
                  <c:v>24.455765121313529</c:v>
                </c:pt>
                <c:pt idx="43">
                  <c:v>24.463458301927979</c:v>
                </c:pt>
                <c:pt idx="44">
                  <c:v>24.55495918907917</c:v>
                </c:pt>
                <c:pt idx="45">
                  <c:v>24.69297971505997</c:v>
                </c:pt>
                <c:pt idx="46">
                  <c:v>25.406662608400989</c:v>
                </c:pt>
                <c:pt idx="47">
                  <c:v>25.570544046997622</c:v>
                </c:pt>
                <c:pt idx="48">
                  <c:v>25.815126553108829</c:v>
                </c:pt>
                <c:pt idx="49">
                  <c:v>26.53919839994575</c:v>
                </c:pt>
                <c:pt idx="50">
                  <c:v>26.82615515101541</c:v>
                </c:pt>
                <c:pt idx="51">
                  <c:v>27.159564781020212</c:v>
                </c:pt>
                <c:pt idx="52">
                  <c:v>27.614394902934791</c:v>
                </c:pt>
                <c:pt idx="53">
                  <c:v>27.77403123288175</c:v>
                </c:pt>
                <c:pt idx="54">
                  <c:v>27.800690744530229</c:v>
                </c:pt>
                <c:pt idx="55">
                  <c:v>27.84211465444606</c:v>
                </c:pt>
                <c:pt idx="56">
                  <c:v>27.931864903864</c:v>
                </c:pt>
                <c:pt idx="57">
                  <c:v>28.621262606442169</c:v>
                </c:pt>
                <c:pt idx="58">
                  <c:v>29.580545266924219</c:v>
                </c:pt>
                <c:pt idx="59">
                  <c:v>30.33617437473179</c:v>
                </c:pt>
                <c:pt idx="60">
                  <c:v>30.378800212027869</c:v>
                </c:pt>
                <c:pt idx="61">
                  <c:v>30.54652467245381</c:v>
                </c:pt>
                <c:pt idx="62">
                  <c:v>30.548334213130829</c:v>
                </c:pt>
                <c:pt idx="63">
                  <c:v>31.261499155985469</c:v>
                </c:pt>
                <c:pt idx="64">
                  <c:v>31.36791921495967</c:v>
                </c:pt>
                <c:pt idx="65">
                  <c:v>31.4470719013969</c:v>
                </c:pt>
                <c:pt idx="66">
                  <c:v>31.745412188938658</c:v>
                </c:pt>
                <c:pt idx="67">
                  <c:v>31.955522663803201</c:v>
                </c:pt>
                <c:pt idx="68">
                  <c:v>32.513172408105348</c:v>
                </c:pt>
                <c:pt idx="69">
                  <c:v>32.742163816162837</c:v>
                </c:pt>
                <c:pt idx="70">
                  <c:v>32.978237923830541</c:v>
                </c:pt>
                <c:pt idx="71">
                  <c:v>33.668776091680037</c:v>
                </c:pt>
                <c:pt idx="72">
                  <c:v>33.673972856367833</c:v>
                </c:pt>
                <c:pt idx="73">
                  <c:v>34.595262106923506</c:v>
                </c:pt>
                <c:pt idx="74">
                  <c:v>35.298120205363134</c:v>
                </c:pt>
                <c:pt idx="75">
                  <c:v>35.554932618478347</c:v>
                </c:pt>
                <c:pt idx="76">
                  <c:v>35.844772186709783</c:v>
                </c:pt>
                <c:pt idx="77">
                  <c:v>36.571491274090619</c:v>
                </c:pt>
                <c:pt idx="78">
                  <c:v>36.900027068905587</c:v>
                </c:pt>
                <c:pt idx="79">
                  <c:v>37.469816908317341</c:v>
                </c:pt>
                <c:pt idx="80">
                  <c:v>38.537144361949288</c:v>
                </c:pt>
                <c:pt idx="81">
                  <c:v>38.660072949317573</c:v>
                </c:pt>
                <c:pt idx="82">
                  <c:v>39.064416506194412</c:v>
                </c:pt>
                <c:pt idx="83">
                  <c:v>39.141118943403733</c:v>
                </c:pt>
                <c:pt idx="84">
                  <c:v>39.302959908297979</c:v>
                </c:pt>
                <c:pt idx="85">
                  <c:v>39.608080142815808</c:v>
                </c:pt>
                <c:pt idx="86">
                  <c:v>40.543887205136372</c:v>
                </c:pt>
                <c:pt idx="87">
                  <c:v>41.002557271958793</c:v>
                </c:pt>
                <c:pt idx="88">
                  <c:v>41.346292973505378</c:v>
                </c:pt>
                <c:pt idx="89">
                  <c:v>41.761145967116718</c:v>
                </c:pt>
                <c:pt idx="90">
                  <c:v>42.008714937699743</c:v>
                </c:pt>
                <c:pt idx="91">
                  <c:v>42.822822317624151</c:v>
                </c:pt>
                <c:pt idx="92">
                  <c:v>43.725297851573082</c:v>
                </c:pt>
                <c:pt idx="93">
                  <c:v>43.841566919922073</c:v>
                </c:pt>
                <c:pt idx="94">
                  <c:v>44.283049106269509</c:v>
                </c:pt>
                <c:pt idx="95">
                  <c:v>46.752795368908778</c:v>
                </c:pt>
                <c:pt idx="96">
                  <c:v>47.560461121595679</c:v>
                </c:pt>
                <c:pt idx="97">
                  <c:v>49.292139708634188</c:v>
                </c:pt>
                <c:pt idx="98">
                  <c:v>49.533436489344098</c:v>
                </c:pt>
                <c:pt idx="99">
                  <c:v>51.079696518758077</c:v>
                </c:pt>
                <c:pt idx="100">
                  <c:v>52.195741716976343</c:v>
                </c:pt>
              </c:numCache>
            </c:numRef>
          </c:xVal>
          <c:yVal>
            <c:numRef>
              <c:f>'weibull 1'!$B$2:$B$102</c:f>
              <c:numCache>
                <c:formatCode>0%</c:formatCode>
                <c:ptCount val="101"/>
                <c:pt idx="0">
                  <c:v>1</c:v>
                </c:pt>
                <c:pt idx="1">
                  <c:v>0.99026954929891331</c:v>
                </c:pt>
                <c:pt idx="2">
                  <c:v>0.98498542540421063</c:v>
                </c:pt>
                <c:pt idx="3">
                  <c:v>0.96415646411124334</c:v>
                </c:pt>
                <c:pt idx="4">
                  <c:v>0.94992579369580776</c:v>
                </c:pt>
                <c:pt idx="5">
                  <c:v>0.94838202149079343</c:v>
                </c:pt>
                <c:pt idx="6">
                  <c:v>0.94535997200829647</c:v>
                </c:pt>
                <c:pt idx="7">
                  <c:v>0.9401738214389268</c:v>
                </c:pt>
                <c:pt idx="8">
                  <c:v>0.9398584278451505</c:v>
                </c:pt>
                <c:pt idx="9">
                  <c:v>0.9300303041788871</c:v>
                </c:pt>
                <c:pt idx="10">
                  <c:v>0.92538400661004194</c:v>
                </c:pt>
                <c:pt idx="11">
                  <c:v>0.91143181691422304</c:v>
                </c:pt>
                <c:pt idx="12">
                  <c:v>0.88452858872595874</c:v>
                </c:pt>
                <c:pt idx="13">
                  <c:v>0.87261332236028177</c:v>
                </c:pt>
                <c:pt idx="14">
                  <c:v>0.87191916192765395</c:v>
                </c:pt>
                <c:pt idx="15">
                  <c:v>0.85827588288926837</c:v>
                </c:pt>
                <c:pt idx="16">
                  <c:v>0.84473397534539596</c:v>
                </c:pt>
                <c:pt idx="17">
                  <c:v>0.83024216957857278</c:v>
                </c:pt>
                <c:pt idx="18">
                  <c:v>0.8295223744751774</c:v>
                </c:pt>
                <c:pt idx="19">
                  <c:v>0.82741902934607159</c:v>
                </c:pt>
                <c:pt idx="20">
                  <c:v>0.82381793022618999</c:v>
                </c:pt>
                <c:pt idx="21">
                  <c:v>0.76902462964016893</c:v>
                </c:pt>
                <c:pt idx="22">
                  <c:v>0.76266265473924033</c:v>
                </c:pt>
                <c:pt idx="23">
                  <c:v>0.74979756751016902</c:v>
                </c:pt>
                <c:pt idx="24">
                  <c:v>0.74697102277283411</c:v>
                </c:pt>
                <c:pt idx="25">
                  <c:v>0.73519145555578014</c:v>
                </c:pt>
                <c:pt idx="26">
                  <c:v>0.73513546194098478</c:v>
                </c:pt>
                <c:pt idx="27">
                  <c:v>0.72875493703007943</c:v>
                </c:pt>
                <c:pt idx="28">
                  <c:v>0.68770925795984028</c:v>
                </c:pt>
                <c:pt idx="29">
                  <c:v>0.67949322594086659</c:v>
                </c:pt>
                <c:pt idx="30">
                  <c:v>0.67889676533117527</c:v>
                </c:pt>
                <c:pt idx="31">
                  <c:v>0.67466317770958273</c:v>
                </c:pt>
                <c:pt idx="32">
                  <c:v>0.67229902982821832</c:v>
                </c:pt>
                <c:pt idx="33">
                  <c:v>0.66702077220025069</c:v>
                </c:pt>
                <c:pt idx="34">
                  <c:v>0.65235996520445638</c:v>
                </c:pt>
                <c:pt idx="35">
                  <c:v>0.6344353853134127</c:v>
                </c:pt>
                <c:pt idx="36">
                  <c:v>0.63421768710243931</c:v>
                </c:pt>
                <c:pt idx="37">
                  <c:v>0.62856936326387602</c:v>
                </c:pt>
                <c:pt idx="38">
                  <c:v>0.62831455160599547</c:v>
                </c:pt>
                <c:pt idx="39">
                  <c:v>0.62429773619930817</c:v>
                </c:pt>
                <c:pt idx="40">
                  <c:v>0.61642737225478161</c:v>
                </c:pt>
                <c:pt idx="41">
                  <c:v>0.61208104432373067</c:v>
                </c:pt>
                <c:pt idx="42">
                  <c:v>0.60131248603505116</c:v>
                </c:pt>
                <c:pt idx="43">
                  <c:v>0.60102381234004898</c:v>
                </c:pt>
                <c:pt idx="44">
                  <c:v>0.59758714288350401</c:v>
                </c:pt>
                <c:pt idx="45">
                  <c:v>0.59239227863295996</c:v>
                </c:pt>
                <c:pt idx="46">
                  <c:v>0.56534932983291319</c:v>
                </c:pt>
                <c:pt idx="47">
                  <c:v>0.55910423830738909</c:v>
                </c:pt>
                <c:pt idx="48">
                  <c:v>0.54976520949123997</c:v>
                </c:pt>
                <c:pt idx="49">
                  <c:v>0.52202889801389329</c:v>
                </c:pt>
                <c:pt idx="50">
                  <c:v>0.51101947695686201</c:v>
                </c:pt>
                <c:pt idx="51">
                  <c:v>0.4982304238645679</c:v>
                </c:pt>
                <c:pt idx="52">
                  <c:v>0.48080898411085338</c:v>
                </c:pt>
                <c:pt idx="53">
                  <c:v>0.47470623492979985</c:v>
                </c:pt>
                <c:pt idx="54">
                  <c:v>0.47368783469085457</c:v>
                </c:pt>
                <c:pt idx="55">
                  <c:v>0.4721059008821043</c:v>
                </c:pt>
                <c:pt idx="56">
                  <c:v>0.46868049833474007</c:v>
                </c:pt>
                <c:pt idx="57">
                  <c:v>0.44248620436763192</c:v>
                </c:pt>
                <c:pt idx="58">
                  <c:v>0.40652471313165733</c:v>
                </c:pt>
                <c:pt idx="59">
                  <c:v>0.37875335668042404</c:v>
                </c:pt>
                <c:pt idx="60">
                  <c:v>0.37720422204407528</c:v>
                </c:pt>
                <c:pt idx="61">
                  <c:v>0.37112838336119103</c:v>
                </c:pt>
                <c:pt idx="62">
                  <c:v>0.37106300686478383</c:v>
                </c:pt>
                <c:pt idx="63">
                  <c:v>0.34560704062039238</c:v>
                </c:pt>
                <c:pt idx="64">
                  <c:v>0.34186455184214393</c:v>
                </c:pt>
                <c:pt idx="65">
                  <c:v>0.33909098666064952</c:v>
                </c:pt>
                <c:pt idx="66">
                  <c:v>0.32871589887710334</c:v>
                </c:pt>
                <c:pt idx="67">
                  <c:v>0.32148650581892019</c:v>
                </c:pt>
                <c:pt idx="68">
                  <c:v>0.30262691403509018</c:v>
                </c:pt>
                <c:pt idx="69">
                  <c:v>0.29502696082808794</c:v>
                </c:pt>
                <c:pt idx="70">
                  <c:v>0.28728391409778581</c:v>
                </c:pt>
                <c:pt idx="71">
                  <c:v>0.26519465435439366</c:v>
                </c:pt>
                <c:pt idx="72">
                  <c:v>0.26503168376041469</c:v>
                </c:pt>
                <c:pt idx="73">
                  <c:v>0.23694893203590073</c:v>
                </c:pt>
                <c:pt idx="74">
                  <c:v>0.21665007636605016</c:v>
                </c:pt>
                <c:pt idx="75">
                  <c:v>0.20948570543684941</c:v>
                </c:pt>
                <c:pt idx="76">
                  <c:v>0.20156559011044772</c:v>
                </c:pt>
                <c:pt idx="77">
                  <c:v>0.18249212782243321</c:v>
                </c:pt>
                <c:pt idx="78">
                  <c:v>0.17424259349943844</c:v>
                </c:pt>
                <c:pt idx="79">
                  <c:v>0.16049229953117497</c:v>
                </c:pt>
                <c:pt idx="80">
                  <c:v>0.13664724998112365</c:v>
                </c:pt>
                <c:pt idx="81">
                  <c:v>0.13406091254460228</c:v>
                </c:pt>
                <c:pt idx="82">
                  <c:v>0.12578566160089924</c:v>
                </c:pt>
                <c:pt idx="83">
                  <c:v>0.12425587020782472</c:v>
                </c:pt>
                <c:pt idx="84">
                  <c:v>0.12106969864296224</c:v>
                </c:pt>
                <c:pt idx="85">
                  <c:v>0.11521588717395763</c:v>
                </c:pt>
                <c:pt idx="86">
                  <c:v>9.8493018923323586E-2</c:v>
                </c:pt>
                <c:pt idx="87">
                  <c:v>9.0960634957440487E-2</c:v>
                </c:pt>
                <c:pt idx="88">
                  <c:v>8.5594845587139756E-2</c:v>
                </c:pt>
                <c:pt idx="89">
                  <c:v>7.943072393635793E-2</c:v>
                </c:pt>
                <c:pt idx="90">
                  <c:v>7.5911609202967578E-2</c:v>
                </c:pt>
                <c:pt idx="91">
                  <c:v>6.5153619623146322E-2</c:v>
                </c:pt>
                <c:pt idx="92">
                  <c:v>5.4620595911286603E-2</c:v>
                </c:pt>
                <c:pt idx="93">
                  <c:v>5.3365035376342324E-2</c:v>
                </c:pt>
                <c:pt idx="94">
                  <c:v>4.8799721661326095E-2</c:v>
                </c:pt>
                <c:pt idx="95">
                  <c:v>2.8608327837857467E-2</c:v>
                </c:pt>
                <c:pt idx="96">
                  <c:v>2.3719515444239114E-2</c:v>
                </c:pt>
                <c:pt idx="97">
                  <c:v>1.5526362133900122E-2</c:v>
                </c:pt>
                <c:pt idx="98">
                  <c:v>1.4600674557887602E-2</c:v>
                </c:pt>
                <c:pt idx="99">
                  <c:v>9.7059423883109272E-3</c:v>
                </c:pt>
                <c:pt idx="100">
                  <c:v>7.1151480739378497E-3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52-48F0-9425-7F7AA9208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198447"/>
        <c:axId val="1262433279"/>
      </c:scatterChart>
      <c:valAx>
        <c:axId val="125919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2433279"/>
        <c:crosses val="autoZero"/>
        <c:crossBetween val="midCat"/>
      </c:valAx>
      <c:valAx>
        <c:axId val="126243327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9198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0" i="0" baseline="0">
                <a:effectLst/>
              </a:rPr>
              <a:t>Confiabilidade - distribuição 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'weibull 2'!$B$1</c:f>
              <c:strCache>
                <c:ptCount val="1"/>
                <c:pt idx="0">
                  <c:v>Confiabilidade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'weibull 2'!$A$2:$A$102</c:f>
              <c:numCache>
                <c:formatCode>General</c:formatCode>
                <c:ptCount val="101"/>
                <c:pt idx="0">
                  <c:v>0</c:v>
                </c:pt>
                <c:pt idx="1">
                  <c:v>16.881427956526782</c:v>
                </c:pt>
                <c:pt idx="2">
                  <c:v>28.89467104705022</c:v>
                </c:pt>
                <c:pt idx="3">
                  <c:v>39.337780909126487</c:v>
                </c:pt>
                <c:pt idx="4">
                  <c:v>39.774968721707623</c:v>
                </c:pt>
                <c:pt idx="5">
                  <c:v>48.247025765603013</c:v>
                </c:pt>
                <c:pt idx="6">
                  <c:v>52.299551803776922</c:v>
                </c:pt>
                <c:pt idx="7">
                  <c:v>56.099103199929353</c:v>
                </c:pt>
                <c:pt idx="8">
                  <c:v>58.548245178094227</c:v>
                </c:pt>
                <c:pt idx="9">
                  <c:v>60.934315899705318</c:v>
                </c:pt>
                <c:pt idx="10">
                  <c:v>66.50149783929416</c:v>
                </c:pt>
                <c:pt idx="11">
                  <c:v>72.524099773356141</c:v>
                </c:pt>
                <c:pt idx="12">
                  <c:v>75.550518256222588</c:v>
                </c:pt>
                <c:pt idx="13">
                  <c:v>85.895908704761766</c:v>
                </c:pt>
                <c:pt idx="14">
                  <c:v>89.648956837310976</c:v>
                </c:pt>
                <c:pt idx="15">
                  <c:v>89.707199162705109</c:v>
                </c:pt>
                <c:pt idx="16">
                  <c:v>93.326078871640703</c:v>
                </c:pt>
                <c:pt idx="17">
                  <c:v>94.304628226360308</c:v>
                </c:pt>
                <c:pt idx="18">
                  <c:v>99.411485569927279</c:v>
                </c:pt>
                <c:pt idx="19">
                  <c:v>100.5540575359145</c:v>
                </c:pt>
                <c:pt idx="20">
                  <c:v>106.44669882443939</c:v>
                </c:pt>
                <c:pt idx="21">
                  <c:v>109.7964766927782</c:v>
                </c:pt>
                <c:pt idx="22">
                  <c:v>110.3879446876438</c:v>
                </c:pt>
                <c:pt idx="23">
                  <c:v>111.7485014615242</c:v>
                </c:pt>
                <c:pt idx="24">
                  <c:v>113.99098669505079</c:v>
                </c:pt>
                <c:pt idx="25">
                  <c:v>115.48637875506419</c:v>
                </c:pt>
                <c:pt idx="26">
                  <c:v>115.5077816578189</c:v>
                </c:pt>
                <c:pt idx="27">
                  <c:v>115.52024618503749</c:v>
                </c:pt>
                <c:pt idx="28">
                  <c:v>120.8462954407254</c:v>
                </c:pt>
                <c:pt idx="29">
                  <c:v>122.6693841582013</c:v>
                </c:pt>
                <c:pt idx="30">
                  <c:v>127.86629173806649</c:v>
                </c:pt>
                <c:pt idx="31">
                  <c:v>128.54081629225661</c:v>
                </c:pt>
                <c:pt idx="32">
                  <c:v>128.79068825716601</c:v>
                </c:pt>
                <c:pt idx="33">
                  <c:v>137.34764569365791</c:v>
                </c:pt>
                <c:pt idx="34">
                  <c:v>138.04403594410971</c:v>
                </c:pt>
                <c:pt idx="35">
                  <c:v>143.14131501336561</c:v>
                </c:pt>
                <c:pt idx="36">
                  <c:v>150.8029161487749</c:v>
                </c:pt>
                <c:pt idx="37">
                  <c:v>155.29153081757249</c:v>
                </c:pt>
                <c:pt idx="38">
                  <c:v>157.41817398774771</c:v>
                </c:pt>
                <c:pt idx="39">
                  <c:v>161.78260815919921</c:v>
                </c:pt>
                <c:pt idx="40">
                  <c:v>162.1405969983166</c:v>
                </c:pt>
                <c:pt idx="41">
                  <c:v>170.35797486024961</c:v>
                </c:pt>
                <c:pt idx="42">
                  <c:v>173.5270735585469</c:v>
                </c:pt>
                <c:pt idx="43">
                  <c:v>174.08853558792839</c:v>
                </c:pt>
                <c:pt idx="44">
                  <c:v>180.04157052481651</c:v>
                </c:pt>
                <c:pt idx="45">
                  <c:v>191.8631997407374</c:v>
                </c:pt>
                <c:pt idx="46">
                  <c:v>196.19334950729481</c:v>
                </c:pt>
                <c:pt idx="47">
                  <c:v>205.38135838860771</c:v>
                </c:pt>
                <c:pt idx="48">
                  <c:v>207.48447975195711</c:v>
                </c:pt>
                <c:pt idx="49">
                  <c:v>207.6179945508097</c:v>
                </c:pt>
                <c:pt idx="50">
                  <c:v>208.56675962805161</c:v>
                </c:pt>
                <c:pt idx="51">
                  <c:v>209.4068875242971</c:v>
                </c:pt>
                <c:pt idx="52">
                  <c:v>213.86513564285329</c:v>
                </c:pt>
                <c:pt idx="53">
                  <c:v>214.99186349052971</c:v>
                </c:pt>
                <c:pt idx="54">
                  <c:v>222.2595893294947</c:v>
                </c:pt>
                <c:pt idx="55">
                  <c:v>222.7931200132594</c:v>
                </c:pt>
                <c:pt idx="56">
                  <c:v>225.31412318124501</c:v>
                </c:pt>
                <c:pt idx="57">
                  <c:v>225.740068494089</c:v>
                </c:pt>
                <c:pt idx="58">
                  <c:v>227.17296074158989</c:v>
                </c:pt>
                <c:pt idx="59">
                  <c:v>232.10646180928319</c:v>
                </c:pt>
                <c:pt idx="60">
                  <c:v>234.07163166605281</c:v>
                </c:pt>
                <c:pt idx="61">
                  <c:v>236.4816551785388</c:v>
                </c:pt>
                <c:pt idx="62">
                  <c:v>238.38594141808321</c:v>
                </c:pt>
                <c:pt idx="63">
                  <c:v>240.59190073452629</c:v>
                </c:pt>
                <c:pt idx="64">
                  <c:v>247.46649412282781</c:v>
                </c:pt>
                <c:pt idx="65">
                  <c:v>250.10042867584701</c:v>
                </c:pt>
                <c:pt idx="66">
                  <c:v>267.40698208513322</c:v>
                </c:pt>
                <c:pt idx="67">
                  <c:v>271.53936455336878</c:v>
                </c:pt>
                <c:pt idx="68">
                  <c:v>285.38655511351863</c:v>
                </c:pt>
                <c:pt idx="69">
                  <c:v>288.92525953201448</c:v>
                </c:pt>
                <c:pt idx="70">
                  <c:v>295.41721982899247</c:v>
                </c:pt>
                <c:pt idx="71">
                  <c:v>296.62401754837981</c:v>
                </c:pt>
                <c:pt idx="72">
                  <c:v>308.41604579050949</c:v>
                </c:pt>
                <c:pt idx="73">
                  <c:v>312.53953151395791</c:v>
                </c:pt>
                <c:pt idx="74">
                  <c:v>318.93097883900731</c:v>
                </c:pt>
                <c:pt idx="75">
                  <c:v>319.44460345479928</c:v>
                </c:pt>
                <c:pt idx="76">
                  <c:v>320.93015632248421</c:v>
                </c:pt>
                <c:pt idx="77">
                  <c:v>324.69461107079269</c:v>
                </c:pt>
                <c:pt idx="78">
                  <c:v>325.57555576616409</c:v>
                </c:pt>
                <c:pt idx="79">
                  <c:v>327.73608616294069</c:v>
                </c:pt>
                <c:pt idx="80">
                  <c:v>328.30576351300698</c:v>
                </c:pt>
                <c:pt idx="81">
                  <c:v>330.11060026744809</c:v>
                </c:pt>
                <c:pt idx="82">
                  <c:v>331.9967929798525</c:v>
                </c:pt>
                <c:pt idx="83">
                  <c:v>336.70839186345597</c:v>
                </c:pt>
                <c:pt idx="84">
                  <c:v>344.30567149421682</c:v>
                </c:pt>
                <c:pt idx="85">
                  <c:v>346.14991660442053</c:v>
                </c:pt>
                <c:pt idx="86">
                  <c:v>348.47952898400251</c:v>
                </c:pt>
                <c:pt idx="87">
                  <c:v>351.04017845955701</c:v>
                </c:pt>
                <c:pt idx="88">
                  <c:v>351.34731485390012</c:v>
                </c:pt>
                <c:pt idx="89">
                  <c:v>365.14450558459248</c:v>
                </c:pt>
                <c:pt idx="90">
                  <c:v>368.39516124205471</c:v>
                </c:pt>
                <c:pt idx="91">
                  <c:v>369.55068641688342</c:v>
                </c:pt>
                <c:pt idx="92">
                  <c:v>394.9748213446486</c:v>
                </c:pt>
                <c:pt idx="93">
                  <c:v>397.49166755491092</c:v>
                </c:pt>
                <c:pt idx="94">
                  <c:v>407.06326690003471</c:v>
                </c:pt>
                <c:pt idx="95">
                  <c:v>432.07841744702409</c:v>
                </c:pt>
                <c:pt idx="96">
                  <c:v>451.62228690832251</c:v>
                </c:pt>
                <c:pt idx="97">
                  <c:v>469.40448332125248</c:v>
                </c:pt>
                <c:pt idx="98">
                  <c:v>476.45078551812622</c:v>
                </c:pt>
                <c:pt idx="99">
                  <c:v>498.60140042077597</c:v>
                </c:pt>
                <c:pt idx="100">
                  <c:v>554.79862681508757</c:v>
                </c:pt>
              </c:numCache>
            </c:numRef>
          </c:xVal>
          <c:yVal>
            <c:numRef>
              <c:f>'weibull 2'!$B$2:$B$102</c:f>
              <c:numCache>
                <c:formatCode>General</c:formatCode>
                <c:ptCount val="101"/>
                <c:pt idx="0">
                  <c:v>1</c:v>
                </c:pt>
                <c:pt idx="1">
                  <c:v>0.99539851071413676</c:v>
                </c:pt>
                <c:pt idx="2">
                  <c:v>0.98657739798051181</c:v>
                </c:pt>
                <c:pt idx="3">
                  <c:v>0.9752626293065314</c:v>
                </c:pt>
                <c:pt idx="4">
                  <c:v>0.9747167152071472</c:v>
                </c:pt>
                <c:pt idx="5">
                  <c:v>0.96302011402953103</c:v>
                </c:pt>
                <c:pt idx="6">
                  <c:v>0.95668828149151786</c:v>
                </c:pt>
                <c:pt idx="7">
                  <c:v>0.95033029931640634</c:v>
                </c:pt>
                <c:pt idx="8">
                  <c:v>0.94601996575597957</c:v>
                </c:pt>
                <c:pt idx="9">
                  <c:v>0.94166349043975517</c:v>
                </c:pt>
                <c:pt idx="10">
                  <c:v>0.93090909558832424</c:v>
                </c:pt>
                <c:pt idx="11">
                  <c:v>0.91837453060612706</c:v>
                </c:pt>
                <c:pt idx="12">
                  <c:v>0.91173520043107481</c:v>
                </c:pt>
                <c:pt idx="13">
                  <c:v>0.88740964792467014</c:v>
                </c:pt>
                <c:pt idx="14">
                  <c:v>0.87799362064308484</c:v>
                </c:pt>
                <c:pt idx="15">
                  <c:v>0.87784513061360414</c:v>
                </c:pt>
                <c:pt idx="16">
                  <c:v>0.86848062380536206</c:v>
                </c:pt>
                <c:pt idx="17">
                  <c:v>0.86590256186169667</c:v>
                </c:pt>
                <c:pt idx="18">
                  <c:v>0.85214283431999105</c:v>
                </c:pt>
                <c:pt idx="19">
                  <c:v>0.84899620150037258</c:v>
                </c:pt>
                <c:pt idx="20">
                  <c:v>0.83239241098092964</c:v>
                </c:pt>
                <c:pt idx="21">
                  <c:v>0.82268624862760054</c:v>
                </c:pt>
                <c:pt idx="22">
                  <c:v>0.82095323718730151</c:v>
                </c:pt>
                <c:pt idx="23">
                  <c:v>0.8169454865335537</c:v>
                </c:pt>
                <c:pt idx="24">
                  <c:v>0.81027648135755104</c:v>
                </c:pt>
                <c:pt idx="25">
                  <c:v>0.80578661677023311</c:v>
                </c:pt>
                <c:pt idx="26">
                  <c:v>0.80572211255604431</c:v>
                </c:pt>
                <c:pt idx="27">
                  <c:v>0.80568454374977616</c:v>
                </c:pt>
                <c:pt idx="28">
                  <c:v>0.78942714040807238</c:v>
                </c:pt>
                <c:pt idx="29">
                  <c:v>0.78377251970837725</c:v>
                </c:pt>
                <c:pt idx="30">
                  <c:v>0.76742115550921963</c:v>
                </c:pt>
                <c:pt idx="31">
                  <c:v>0.76527493041723504</c:v>
                </c:pt>
                <c:pt idx="32">
                  <c:v>0.76447854385742275</c:v>
                </c:pt>
                <c:pt idx="33">
                  <c:v>0.73680057114737318</c:v>
                </c:pt>
                <c:pt idx="34">
                  <c:v>0.73451598389422357</c:v>
                </c:pt>
                <c:pt idx="35">
                  <c:v>0.7176647103098327</c:v>
                </c:pt>
                <c:pt idx="36">
                  <c:v>0.69196396210452327</c:v>
                </c:pt>
                <c:pt idx="37">
                  <c:v>0.67673860524998153</c:v>
                </c:pt>
                <c:pt idx="38">
                  <c:v>0.66948988839070001</c:v>
                </c:pt>
                <c:pt idx="39">
                  <c:v>0.65455545124134229</c:v>
                </c:pt>
                <c:pt idx="40">
                  <c:v>0.65332746299995759</c:v>
                </c:pt>
                <c:pt idx="41">
                  <c:v>0.62505081027291354</c:v>
                </c:pt>
                <c:pt idx="42">
                  <c:v>0.61411660094888065</c:v>
                </c:pt>
                <c:pt idx="43">
                  <c:v>0.61217868473441539</c:v>
                </c:pt>
                <c:pt idx="44">
                  <c:v>0.59163209536950701</c:v>
                </c:pt>
                <c:pt idx="45">
                  <c:v>0.55097379503810517</c:v>
                </c:pt>
                <c:pt idx="46">
                  <c:v>0.53618290203175512</c:v>
                </c:pt>
                <c:pt idx="47">
                  <c:v>0.50508330763148257</c:v>
                </c:pt>
                <c:pt idx="48">
                  <c:v>0.49803064018962456</c:v>
                </c:pt>
                <c:pt idx="49">
                  <c:v>0.49758383992133715</c:v>
                </c:pt>
                <c:pt idx="50">
                  <c:v>0.49441214751014623</c:v>
                </c:pt>
                <c:pt idx="51">
                  <c:v>0.49160853918669012</c:v>
                </c:pt>
                <c:pt idx="52">
                  <c:v>0.47681222741543267</c:v>
                </c:pt>
                <c:pt idx="53">
                  <c:v>0.47309557972110844</c:v>
                </c:pt>
                <c:pt idx="54">
                  <c:v>0.44936415297431986</c:v>
                </c:pt>
                <c:pt idx="55">
                  <c:v>0.44763947242693847</c:v>
                </c:pt>
                <c:pt idx="56">
                  <c:v>0.43952440939210519</c:v>
                </c:pt>
                <c:pt idx="57">
                  <c:v>0.43815899169504152</c:v>
                </c:pt>
                <c:pt idx="58">
                  <c:v>0.43357804051966442</c:v>
                </c:pt>
                <c:pt idx="59">
                  <c:v>0.41795618061460893</c:v>
                </c:pt>
                <c:pt idx="60">
                  <c:v>0.41180096100225166</c:v>
                </c:pt>
                <c:pt idx="61">
                  <c:v>0.40430693975899817</c:v>
                </c:pt>
                <c:pt idx="62">
                  <c:v>0.39842906850011905</c:v>
                </c:pt>
                <c:pt idx="63">
                  <c:v>0.39166925664948377</c:v>
                </c:pt>
                <c:pt idx="64">
                  <c:v>0.37095471405981917</c:v>
                </c:pt>
                <c:pt idx="65">
                  <c:v>0.36316428446619536</c:v>
                </c:pt>
                <c:pt idx="66">
                  <c:v>0.31412971089212055</c:v>
                </c:pt>
                <c:pt idx="67">
                  <c:v>0.30300116038263508</c:v>
                </c:pt>
                <c:pt idx="68">
                  <c:v>0.26742492987838695</c:v>
                </c:pt>
                <c:pt idx="69">
                  <c:v>0.25876599249025134</c:v>
                </c:pt>
                <c:pt idx="70">
                  <c:v>0.24334623327855529</c:v>
                </c:pt>
                <c:pt idx="71">
                  <c:v>0.24054659395544628</c:v>
                </c:pt>
                <c:pt idx="72">
                  <c:v>0.21429684792827808</c:v>
                </c:pt>
                <c:pt idx="73">
                  <c:v>0.20559176844615221</c:v>
                </c:pt>
                <c:pt idx="74">
                  <c:v>0.19258263209432963</c:v>
                </c:pt>
                <c:pt idx="75">
                  <c:v>0.19156264412165275</c:v>
                </c:pt>
                <c:pt idx="76">
                  <c:v>0.18863377125942665</c:v>
                </c:pt>
                <c:pt idx="77">
                  <c:v>0.18135276072369871</c:v>
                </c:pt>
                <c:pt idx="78">
                  <c:v>0.17967795764944819</c:v>
                </c:pt>
                <c:pt idx="79">
                  <c:v>0.17561697109035387</c:v>
                </c:pt>
                <c:pt idx="80">
                  <c:v>0.17455717010577423</c:v>
                </c:pt>
                <c:pt idx="81">
                  <c:v>0.17122969322912415</c:v>
                </c:pt>
                <c:pt idx="82">
                  <c:v>0.16780106226962785</c:v>
                </c:pt>
                <c:pt idx="83">
                  <c:v>0.1594531680005434</c:v>
                </c:pt>
                <c:pt idx="84">
                  <c:v>0.14663598074635997</c:v>
                </c:pt>
                <c:pt idx="85">
                  <c:v>0.14364275030953919</c:v>
                </c:pt>
                <c:pt idx="86">
                  <c:v>0.13992689960587268</c:v>
                </c:pt>
                <c:pt idx="87">
                  <c:v>0.13592575745549179</c:v>
                </c:pt>
                <c:pt idx="88">
                  <c:v>0.13545165862548794</c:v>
                </c:pt>
                <c:pt idx="89">
                  <c:v>0.11541146974611778</c:v>
                </c:pt>
                <c:pt idx="90">
                  <c:v>0.11103921029697408</c:v>
                </c:pt>
                <c:pt idx="91">
                  <c:v>0.1095161855526528</c:v>
                </c:pt>
                <c:pt idx="92">
                  <c:v>7.9937994374507895E-2</c:v>
                </c:pt>
                <c:pt idx="93">
                  <c:v>7.7396881977367799E-2</c:v>
                </c:pt>
                <c:pt idx="94">
                  <c:v>6.8320957034839896E-2</c:v>
                </c:pt>
                <c:pt idx="95">
                  <c:v>4.8629057771925478E-2</c:v>
                </c:pt>
                <c:pt idx="96">
                  <c:v>3.6762593833042236E-2</c:v>
                </c:pt>
                <c:pt idx="97">
                  <c:v>2.8196644722000369E-2</c:v>
                </c:pt>
                <c:pt idx="98">
                  <c:v>2.5311294131532821E-2</c:v>
                </c:pt>
                <c:pt idx="99">
                  <c:v>1.7839522618921157E-2</c:v>
                </c:pt>
                <c:pt idx="100">
                  <c:v>6.8382790052534592E-3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43-444E-B851-733968658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765471"/>
        <c:axId val="1531764639"/>
      </c:scatterChart>
      <c:valAx>
        <c:axId val="153176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1764639"/>
        <c:crosses val="autoZero"/>
        <c:crossBetween val="midCat"/>
      </c:valAx>
      <c:valAx>
        <c:axId val="153176463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176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baseline="0">
                <a:effectLst/>
              </a:rPr>
              <a:t>Confiabilidade - distribuição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'weibul 3'!$B$1</c:f>
              <c:strCache>
                <c:ptCount val="1"/>
                <c:pt idx="0">
                  <c:v>Confiabilidade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'weibul 3'!$A$2:$A$102</c:f>
              <c:numCache>
                <c:formatCode>General</c:formatCode>
                <c:ptCount val="101"/>
                <c:pt idx="0">
                  <c:v>0</c:v>
                </c:pt>
                <c:pt idx="1">
                  <c:v>120.5469845507603</c:v>
                </c:pt>
                <c:pt idx="2">
                  <c:v>174.09374463825949</c:v>
                </c:pt>
                <c:pt idx="3">
                  <c:v>269.98390361417052</c:v>
                </c:pt>
                <c:pt idx="4">
                  <c:v>281.42302267764711</c:v>
                </c:pt>
                <c:pt idx="5">
                  <c:v>329.67476124925332</c:v>
                </c:pt>
                <c:pt idx="6">
                  <c:v>331.10033752862438</c:v>
                </c:pt>
                <c:pt idx="7">
                  <c:v>342.7431371756914</c:v>
                </c:pt>
                <c:pt idx="8">
                  <c:v>369.71986817432992</c:v>
                </c:pt>
                <c:pt idx="9">
                  <c:v>385.84083163702638</c:v>
                </c:pt>
                <c:pt idx="10">
                  <c:v>430.30824700732012</c:v>
                </c:pt>
                <c:pt idx="11">
                  <c:v>439.68729436753762</c:v>
                </c:pt>
                <c:pt idx="12">
                  <c:v>469.71043004073869</c:v>
                </c:pt>
                <c:pt idx="13">
                  <c:v>499.82467001646808</c:v>
                </c:pt>
                <c:pt idx="14">
                  <c:v>530.51937634423348</c:v>
                </c:pt>
                <c:pt idx="15">
                  <c:v>536.04768349400194</c:v>
                </c:pt>
                <c:pt idx="16">
                  <c:v>552.03045255456266</c:v>
                </c:pt>
                <c:pt idx="17">
                  <c:v>575.43337751357183</c:v>
                </c:pt>
                <c:pt idx="18">
                  <c:v>588.46656404188843</c:v>
                </c:pt>
                <c:pt idx="19">
                  <c:v>599.71160484538052</c:v>
                </c:pt>
                <c:pt idx="20">
                  <c:v>614.40905934375382</c:v>
                </c:pt>
                <c:pt idx="21">
                  <c:v>618.66608433723945</c:v>
                </c:pt>
                <c:pt idx="22">
                  <c:v>640.8728707536784</c:v>
                </c:pt>
                <c:pt idx="23">
                  <c:v>656.010680106113</c:v>
                </c:pt>
                <c:pt idx="24">
                  <c:v>663.18253044670803</c:v>
                </c:pt>
                <c:pt idx="25">
                  <c:v>666.139825815569</c:v>
                </c:pt>
                <c:pt idx="26">
                  <c:v>692.97256486258482</c:v>
                </c:pt>
                <c:pt idx="27">
                  <c:v>706.5148829335659</c:v>
                </c:pt>
                <c:pt idx="28">
                  <c:v>712.22951220886625</c:v>
                </c:pt>
                <c:pt idx="29">
                  <c:v>712.9075027687901</c:v>
                </c:pt>
                <c:pt idx="30">
                  <c:v>734.27830203129884</c:v>
                </c:pt>
                <c:pt idx="31">
                  <c:v>741.93959941753405</c:v>
                </c:pt>
                <c:pt idx="32">
                  <c:v>753.0878415523697</c:v>
                </c:pt>
                <c:pt idx="33">
                  <c:v>759.62150748584702</c:v>
                </c:pt>
                <c:pt idx="34">
                  <c:v>763.04498553252165</c:v>
                </c:pt>
                <c:pt idx="35">
                  <c:v>765.13327702985521</c:v>
                </c:pt>
                <c:pt idx="36">
                  <c:v>765.55876882172959</c:v>
                </c:pt>
                <c:pt idx="37">
                  <c:v>766.60861426877966</c:v>
                </c:pt>
                <c:pt idx="38">
                  <c:v>776.61924392762228</c:v>
                </c:pt>
                <c:pt idx="39">
                  <c:v>797.85568423142558</c:v>
                </c:pt>
                <c:pt idx="40">
                  <c:v>802.75338798602331</c:v>
                </c:pt>
                <c:pt idx="41">
                  <c:v>811.91464178836554</c:v>
                </c:pt>
                <c:pt idx="42">
                  <c:v>831.89067376070534</c:v>
                </c:pt>
                <c:pt idx="43">
                  <c:v>851.17821642567355</c:v>
                </c:pt>
                <c:pt idx="44">
                  <c:v>860.78764447673666</c:v>
                </c:pt>
                <c:pt idx="45">
                  <c:v>869.0846941307218</c:v>
                </c:pt>
                <c:pt idx="46">
                  <c:v>873.48209483462426</c:v>
                </c:pt>
                <c:pt idx="47">
                  <c:v>874.63125560547451</c:v>
                </c:pt>
                <c:pt idx="48">
                  <c:v>890.40779816851034</c:v>
                </c:pt>
                <c:pt idx="49">
                  <c:v>899.60502503646967</c:v>
                </c:pt>
                <c:pt idx="50">
                  <c:v>911.06421126377745</c:v>
                </c:pt>
                <c:pt idx="51">
                  <c:v>923.14473155988276</c:v>
                </c:pt>
                <c:pt idx="52">
                  <c:v>935.2249655007804</c:v>
                </c:pt>
                <c:pt idx="53">
                  <c:v>947.89841968055771</c:v>
                </c:pt>
                <c:pt idx="54">
                  <c:v>951.30288042862651</c:v>
                </c:pt>
                <c:pt idx="55">
                  <c:v>965.96158760606181</c:v>
                </c:pt>
                <c:pt idx="56">
                  <c:v>979.06291705749379</c:v>
                </c:pt>
                <c:pt idx="57">
                  <c:v>988.37838085357271</c:v>
                </c:pt>
                <c:pt idx="58">
                  <c:v>1010.3417197972381</c:v>
                </c:pt>
                <c:pt idx="59">
                  <c:v>1016.475912254385</c:v>
                </c:pt>
                <c:pt idx="60">
                  <c:v>1026.721098692223</c:v>
                </c:pt>
                <c:pt idx="61">
                  <c:v>1026.970987607134</c:v>
                </c:pt>
                <c:pt idx="62">
                  <c:v>1037.576497260495</c:v>
                </c:pt>
                <c:pt idx="63">
                  <c:v>1040.92389387663</c:v>
                </c:pt>
                <c:pt idx="64">
                  <c:v>1041.972959831083</c:v>
                </c:pt>
                <c:pt idx="65">
                  <c:v>1046.899215919575</c:v>
                </c:pt>
                <c:pt idx="66">
                  <c:v>1052.217819284489</c:v>
                </c:pt>
                <c:pt idx="67">
                  <c:v>1074.7261008131891</c:v>
                </c:pt>
                <c:pt idx="68">
                  <c:v>1081.474015234774</c:v>
                </c:pt>
                <c:pt idx="69">
                  <c:v>1085.560416751282</c:v>
                </c:pt>
                <c:pt idx="70">
                  <c:v>1097.0879558502261</c:v>
                </c:pt>
                <c:pt idx="71">
                  <c:v>1099.750034728522</c:v>
                </c:pt>
                <c:pt idx="72">
                  <c:v>1131.829204760739</c:v>
                </c:pt>
                <c:pt idx="73">
                  <c:v>1136.870646820639</c:v>
                </c:pt>
                <c:pt idx="74">
                  <c:v>1140.2089869898909</c:v>
                </c:pt>
                <c:pt idx="75">
                  <c:v>1144.847258031233</c:v>
                </c:pt>
                <c:pt idx="76">
                  <c:v>1148.07183403813</c:v>
                </c:pt>
                <c:pt idx="77">
                  <c:v>1162.3510665556421</c:v>
                </c:pt>
                <c:pt idx="78">
                  <c:v>1165.882123861149</c:v>
                </c:pt>
                <c:pt idx="79">
                  <c:v>1186.2504465475849</c:v>
                </c:pt>
                <c:pt idx="80">
                  <c:v>1196.187492428812</c:v>
                </c:pt>
                <c:pt idx="81">
                  <c:v>1203.326527762388</c:v>
                </c:pt>
                <c:pt idx="82">
                  <c:v>1224.450935582305</c:v>
                </c:pt>
                <c:pt idx="83">
                  <c:v>1241.9802540743499</c:v>
                </c:pt>
                <c:pt idx="84">
                  <c:v>1244.554191210266</c:v>
                </c:pt>
                <c:pt idx="85">
                  <c:v>1302.9259915023031</c:v>
                </c:pt>
                <c:pt idx="86">
                  <c:v>1318.465793573358</c:v>
                </c:pt>
                <c:pt idx="87">
                  <c:v>1322.93964498014</c:v>
                </c:pt>
                <c:pt idx="88">
                  <c:v>1350.510601648077</c:v>
                </c:pt>
                <c:pt idx="89">
                  <c:v>1358.4011528302051</c:v>
                </c:pt>
                <c:pt idx="90">
                  <c:v>1402.002505860358</c:v>
                </c:pt>
                <c:pt idx="91">
                  <c:v>1405.3783715386389</c:v>
                </c:pt>
                <c:pt idx="92">
                  <c:v>1448.062281484946</c:v>
                </c:pt>
                <c:pt idx="93">
                  <c:v>1460.79313936514</c:v>
                </c:pt>
                <c:pt idx="94">
                  <c:v>1481.9878443787461</c:v>
                </c:pt>
                <c:pt idx="95">
                  <c:v>1505.97110758279</c:v>
                </c:pt>
                <c:pt idx="96">
                  <c:v>1569.13240472445</c:v>
                </c:pt>
                <c:pt idx="97">
                  <c:v>1634.621203126572</c:v>
                </c:pt>
                <c:pt idx="98">
                  <c:v>1645.772467598181</c:v>
                </c:pt>
                <c:pt idx="99">
                  <c:v>1685.187204238654</c:v>
                </c:pt>
                <c:pt idx="100">
                  <c:v>1741.9108504014671</c:v>
                </c:pt>
              </c:numCache>
            </c:numRef>
          </c:xVal>
          <c:yVal>
            <c:numRef>
              <c:f>'weibul 3'!$B$2:$B$102</c:f>
              <c:numCache>
                <c:formatCode>General</c:formatCode>
                <c:ptCount val="101"/>
                <c:pt idx="0">
                  <c:v>1</c:v>
                </c:pt>
                <c:pt idx="1">
                  <c:v>0.99537829070025996</c:v>
                </c:pt>
                <c:pt idx="2">
                  <c:v>0.98845697478066463</c:v>
                </c:pt>
                <c:pt idx="3">
                  <c:v>0.9658293577695003</c:v>
                </c:pt>
                <c:pt idx="4">
                  <c:v>0.96216591957865283</c:v>
                </c:pt>
                <c:pt idx="5">
                  <c:v>0.94432618388139478</c:v>
                </c:pt>
                <c:pt idx="6">
                  <c:v>0.94373973606557437</c:v>
                </c:pt>
                <c:pt idx="7">
                  <c:v>0.9388216133033892</c:v>
                </c:pt>
                <c:pt idx="8">
                  <c:v>0.92654434302291133</c:v>
                </c:pt>
                <c:pt idx="9">
                  <c:v>0.91861970167960538</c:v>
                </c:pt>
                <c:pt idx="10">
                  <c:v>0.89449967512635864</c:v>
                </c:pt>
                <c:pt idx="11">
                  <c:v>0.88899382799544679</c:v>
                </c:pt>
                <c:pt idx="12">
                  <c:v>0.87041130584418114</c:v>
                </c:pt>
                <c:pt idx="13">
                  <c:v>0.85034480082208141</c:v>
                </c:pt>
                <c:pt idx="14">
                  <c:v>0.82848413525907971</c:v>
                </c:pt>
                <c:pt idx="15">
                  <c:v>0.82440177945905602</c:v>
                </c:pt>
                <c:pt idx="16">
                  <c:v>0.81235912447933456</c:v>
                </c:pt>
                <c:pt idx="17">
                  <c:v>0.79410391165761729</c:v>
                </c:pt>
                <c:pt idx="18">
                  <c:v>0.7836315910879087</c:v>
                </c:pt>
                <c:pt idx="19">
                  <c:v>0.77442816644974244</c:v>
                </c:pt>
                <c:pt idx="20">
                  <c:v>0.76217424362748676</c:v>
                </c:pt>
                <c:pt idx="21">
                  <c:v>0.75857900651483001</c:v>
                </c:pt>
                <c:pt idx="22">
                  <c:v>0.73950642834422575</c:v>
                </c:pt>
                <c:pt idx="23">
                  <c:v>0.72621611769168748</c:v>
                </c:pt>
                <c:pt idx="24">
                  <c:v>0.71984302351721219</c:v>
                </c:pt>
                <c:pt idx="25">
                  <c:v>0.71720133862144131</c:v>
                </c:pt>
                <c:pt idx="26">
                  <c:v>0.69288817241471623</c:v>
                </c:pt>
                <c:pt idx="27">
                  <c:v>0.68040090735641212</c:v>
                </c:pt>
                <c:pt idx="28">
                  <c:v>0.67509200702140704</c:v>
                </c:pt>
                <c:pt idx="29">
                  <c:v>0.67446066847158892</c:v>
                </c:pt>
                <c:pt idx="30">
                  <c:v>0.65440989517195103</c:v>
                </c:pt>
                <c:pt idx="31">
                  <c:v>0.64715632805493717</c:v>
                </c:pt>
                <c:pt idx="32">
                  <c:v>0.63654677800061688</c:v>
                </c:pt>
                <c:pt idx="33">
                  <c:v>0.63030123650963354</c:v>
                </c:pt>
                <c:pt idx="34">
                  <c:v>0.62702120542590134</c:v>
                </c:pt>
                <c:pt idx="35">
                  <c:v>0.62501799435948546</c:v>
                </c:pt>
                <c:pt idx="36">
                  <c:v>0.62460961830544759</c:v>
                </c:pt>
                <c:pt idx="37">
                  <c:v>0.6236016906125208</c:v>
                </c:pt>
                <c:pt idx="38">
                  <c:v>0.61396947719490913</c:v>
                </c:pt>
                <c:pt idx="39">
                  <c:v>0.5934267996701067</c:v>
                </c:pt>
                <c:pt idx="40">
                  <c:v>0.58867208283882733</c:v>
                </c:pt>
                <c:pt idx="41">
                  <c:v>0.57976511514947526</c:v>
                </c:pt>
                <c:pt idx="42">
                  <c:v>0.56030119526233491</c:v>
                </c:pt>
                <c:pt idx="43">
                  <c:v>0.54148468595621402</c:v>
                </c:pt>
                <c:pt idx="44">
                  <c:v>0.53211299528007838</c:v>
                </c:pt>
                <c:pt idx="45">
                  <c:v>0.52402755412509161</c:v>
                </c:pt>
                <c:pt idx="46">
                  <c:v>0.51974573797247869</c:v>
                </c:pt>
                <c:pt idx="47">
                  <c:v>0.51862724868077192</c:v>
                </c:pt>
                <c:pt idx="48">
                  <c:v>0.50329606039588992</c:v>
                </c:pt>
                <c:pt idx="49">
                  <c:v>0.49438430088084862</c:v>
                </c:pt>
                <c:pt idx="50">
                  <c:v>0.48331446876996043</c:v>
                </c:pt>
                <c:pt idx="51">
                  <c:v>0.47169236272031778</c:v>
                </c:pt>
                <c:pt idx="52">
                  <c:v>0.46012796620994872</c:v>
                </c:pt>
                <c:pt idx="53">
                  <c:v>0.4480663688145527</c:v>
                </c:pt>
                <c:pt idx="54">
                  <c:v>0.44483977700591237</c:v>
                </c:pt>
                <c:pt idx="55">
                  <c:v>0.43101832325046835</c:v>
                </c:pt>
                <c:pt idx="56">
                  <c:v>0.41877160671280655</c:v>
                </c:pt>
                <c:pt idx="57">
                  <c:v>0.41013034100079676</c:v>
                </c:pt>
                <c:pt idx="58">
                  <c:v>0.38999634730299415</c:v>
                </c:pt>
                <c:pt idx="59">
                  <c:v>0.38443749231793573</c:v>
                </c:pt>
                <c:pt idx="60">
                  <c:v>0.37522003999292092</c:v>
                </c:pt>
                <c:pt idx="61">
                  <c:v>0.37499628963337517</c:v>
                </c:pt>
                <c:pt idx="62">
                  <c:v>0.36554861667148592</c:v>
                </c:pt>
                <c:pt idx="63">
                  <c:v>0.36258673128236035</c:v>
                </c:pt>
                <c:pt idx="64">
                  <c:v>0.36166050542385447</c:v>
                </c:pt>
                <c:pt idx="65">
                  <c:v>0.35732414881271218</c:v>
                </c:pt>
                <c:pt idx="66">
                  <c:v>0.35266695117784186</c:v>
                </c:pt>
                <c:pt idx="67">
                  <c:v>0.33325084027755808</c:v>
                </c:pt>
                <c:pt idx="68">
                  <c:v>0.32752591328279645</c:v>
                </c:pt>
                <c:pt idx="69">
                  <c:v>0.32408127491669236</c:v>
                </c:pt>
                <c:pt idx="70">
                  <c:v>0.31445654266109402</c:v>
                </c:pt>
                <c:pt idx="71">
                  <c:v>0.31225359857590013</c:v>
                </c:pt>
                <c:pt idx="72">
                  <c:v>0.2863111647882049</c:v>
                </c:pt>
                <c:pt idx="73">
                  <c:v>0.28233855741247577</c:v>
                </c:pt>
                <c:pt idx="74">
                  <c:v>0.279724010368743</c:v>
                </c:pt>
                <c:pt idx="75">
                  <c:v>0.27611274514823309</c:v>
                </c:pt>
                <c:pt idx="76">
                  <c:v>0.27361689679915563</c:v>
                </c:pt>
                <c:pt idx="77">
                  <c:v>0.26271176932597817</c:v>
                </c:pt>
                <c:pt idx="78">
                  <c:v>0.26005250549248521</c:v>
                </c:pt>
                <c:pt idx="79">
                  <c:v>0.24500791040776693</c:v>
                </c:pt>
                <c:pt idx="80">
                  <c:v>0.2378531776898368</c:v>
                </c:pt>
                <c:pt idx="81">
                  <c:v>0.23278897993538175</c:v>
                </c:pt>
                <c:pt idx="82">
                  <c:v>0.2181804160525595</c:v>
                </c:pt>
                <c:pt idx="83">
                  <c:v>0.20649019737971841</c:v>
                </c:pt>
                <c:pt idx="84">
                  <c:v>0.2048069380036352</c:v>
                </c:pt>
                <c:pt idx="85">
                  <c:v>0.16894387769052061</c:v>
                </c:pt>
                <c:pt idx="86">
                  <c:v>0.16014439913046463</c:v>
                </c:pt>
                <c:pt idx="87">
                  <c:v>0.15766925727748621</c:v>
                </c:pt>
                <c:pt idx="88">
                  <c:v>0.14298705173900297</c:v>
                </c:pt>
                <c:pt idx="89">
                  <c:v>0.13896502091795457</c:v>
                </c:pt>
                <c:pt idx="90">
                  <c:v>0.11816019077612633</c:v>
                </c:pt>
                <c:pt idx="91">
                  <c:v>0.11664822904294272</c:v>
                </c:pt>
                <c:pt idx="92">
                  <c:v>9.8721444730830152E-2</c:v>
                </c:pt>
                <c:pt idx="93">
                  <c:v>9.3791973834044889E-2</c:v>
                </c:pt>
                <c:pt idx="94">
                  <c:v>8.5996410381865812E-2</c:v>
                </c:pt>
                <c:pt idx="95">
                  <c:v>7.7776981217091715E-2</c:v>
                </c:pt>
                <c:pt idx="96">
                  <c:v>5.9004251976306793E-2</c:v>
                </c:pt>
                <c:pt idx="97">
                  <c:v>4.3512001423405909E-2</c:v>
                </c:pt>
                <c:pt idx="98">
                  <c:v>4.1235763016040081E-2</c:v>
                </c:pt>
                <c:pt idx="99">
                  <c:v>3.3953120359207237E-2</c:v>
                </c:pt>
                <c:pt idx="100">
                  <c:v>2.5358670275249781E-2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69-41BF-B54F-35A2D3464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498399"/>
        <c:axId val="1296497983"/>
      </c:scatterChart>
      <c:valAx>
        <c:axId val="129649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497983"/>
        <c:crosses val="autoZero"/>
        <c:crossBetween val="midCat"/>
      </c:valAx>
      <c:valAx>
        <c:axId val="129649798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498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baseline="0">
                <a:effectLst/>
              </a:rPr>
              <a:t>Distribuição 10 </a:t>
            </a:r>
            <a:endParaRPr lang="pt-BR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Otimização!$B$26</c:f>
              <c:strCache>
                <c:ptCount val="1"/>
                <c:pt idx="0">
                  <c:v>Custo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Otimização!$A$27:$A$34</c:f>
              <c:numCache>
                <c:formatCode>General</c:formatCode>
                <c:ptCount val="8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</c:v>
                </c:pt>
                <c:pt idx="6">
                  <c:v>0.85</c:v>
                </c:pt>
                <c:pt idx="7">
                  <c:v>0.8</c:v>
                </c:pt>
              </c:numCache>
            </c:numRef>
          </c:xVal>
          <c:yVal>
            <c:numRef>
              <c:f>Otimização!$B$27:$B$34</c:f>
              <c:numCache>
                <c:formatCode>0.0000</c:formatCode>
                <c:ptCount val="8"/>
                <c:pt idx="0">
                  <c:v>1126754.7206377899</c:v>
                </c:pt>
                <c:pt idx="1">
                  <c:v>300148.15702970402</c:v>
                </c:pt>
                <c:pt idx="2">
                  <c:v>300148.15702970402</c:v>
                </c:pt>
                <c:pt idx="3">
                  <c:v>300148.15702970402</c:v>
                </c:pt>
                <c:pt idx="4">
                  <c:v>300148.15702970402</c:v>
                </c:pt>
                <c:pt idx="5">
                  <c:v>300148.15702970402</c:v>
                </c:pt>
                <c:pt idx="6">
                  <c:v>300148.15702970402</c:v>
                </c:pt>
                <c:pt idx="7">
                  <c:v>300148.15702970402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A1-48EF-9961-EDB96C4CE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860031"/>
        <c:axId val="487849215"/>
      </c:scatterChart>
      <c:scatterChart>
        <c:scatterStyle val="lineMarker"/>
        <c:varyColors val="0"/>
        <c:ser>
          <c:idx val="1"/>
          <c:order val="1"/>
          <c:tx>
            <c:strRef>
              <c:f>Otimização!$C$26</c:f>
              <c:strCache>
                <c:ptCount val="1"/>
                <c:pt idx="0">
                  <c:v>Intervalo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Otimização!$A$27:$A$34</c:f>
              <c:numCache>
                <c:formatCode>General</c:formatCode>
                <c:ptCount val="8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</c:v>
                </c:pt>
                <c:pt idx="6">
                  <c:v>0.85</c:v>
                </c:pt>
                <c:pt idx="7">
                  <c:v>0.8</c:v>
                </c:pt>
              </c:numCache>
            </c:numRef>
          </c:xVal>
          <c:yVal>
            <c:numRef>
              <c:f>Otimização!$C$27:$C$34</c:f>
              <c:numCache>
                <c:formatCode>General</c:formatCode>
                <c:ptCount val="8"/>
                <c:pt idx="0">
                  <c:v>1970.0630165600001</c:v>
                </c:pt>
                <c:pt idx="1">
                  <c:v>403.11796291000002</c:v>
                </c:pt>
                <c:pt idx="2">
                  <c:v>403.17713006000002</c:v>
                </c:pt>
                <c:pt idx="3">
                  <c:v>403.76405799000003</c:v>
                </c:pt>
                <c:pt idx="4">
                  <c:v>403.55649442999999</c:v>
                </c:pt>
                <c:pt idx="5">
                  <c:v>403.43650821</c:v>
                </c:pt>
                <c:pt idx="6">
                  <c:v>403.16485276999998</c:v>
                </c:pt>
                <c:pt idx="7">
                  <c:v>403.13350675999999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A1-48EF-9961-EDB96C4CE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290495"/>
        <c:axId val="575302143"/>
      </c:scatterChart>
      <c:valAx>
        <c:axId val="487860031"/>
        <c:scaling>
          <c:orientation val="minMax"/>
          <c:max val="0.99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baseline="0">
                    <a:effectLst/>
                  </a:rPr>
                  <a:t>Restrição - disponibilidade</a:t>
                </a:r>
                <a:endParaRPr lang="pt-BR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7849215"/>
        <c:crosses val="autoZero"/>
        <c:crossBetween val="midCat"/>
      </c:valAx>
      <c:valAx>
        <c:axId val="48784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Custo [R$]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7860031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valAx>
        <c:axId val="5753021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Intervalo [h]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5290495"/>
        <c:crosses val="max"/>
        <c:crossBetween val="midCat"/>
      </c:valAx>
      <c:valAx>
        <c:axId val="5752904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5302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baseline="0">
                <a:effectLst/>
              </a:rPr>
              <a:t>Distribuição 10 </a:t>
            </a:r>
            <a:endParaRPr lang="pt-BR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Otimização!$E$26</c:f>
              <c:strCache>
                <c:ptCount val="1"/>
                <c:pt idx="0">
                  <c:v>Disponibilidade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Otimização!$A$27:$A$34</c:f>
              <c:numCache>
                <c:formatCode>General</c:formatCode>
                <c:ptCount val="8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</c:v>
                </c:pt>
                <c:pt idx="6">
                  <c:v>0.85</c:v>
                </c:pt>
                <c:pt idx="7">
                  <c:v>0.8</c:v>
                </c:pt>
              </c:numCache>
            </c:numRef>
          </c:xVal>
          <c:yVal>
            <c:numRef>
              <c:f>Otimização!$E$27:$E$34</c:f>
              <c:numCache>
                <c:formatCode>General</c:formatCode>
                <c:ptCount val="8"/>
                <c:pt idx="0">
                  <c:v>0.99000348534099503</c:v>
                </c:pt>
                <c:pt idx="1">
                  <c:v>0.98666957385797505</c:v>
                </c:pt>
                <c:pt idx="2">
                  <c:v>0.98666957385797505</c:v>
                </c:pt>
                <c:pt idx="3">
                  <c:v>0.98666957385797505</c:v>
                </c:pt>
                <c:pt idx="4">
                  <c:v>0.98666957385797505</c:v>
                </c:pt>
                <c:pt idx="5">
                  <c:v>0.98666957385797505</c:v>
                </c:pt>
                <c:pt idx="6">
                  <c:v>0.98666957385797505</c:v>
                </c:pt>
                <c:pt idx="7">
                  <c:v>0.98666957385797505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0F-4E5D-923F-E95D3FCADAAC}"/>
            </c:ext>
          </c:extLst>
        </c:ser>
        <c:ser>
          <c:idx val="0"/>
          <c:order val="0"/>
          <c:tx>
            <c:strRef>
              <c:f>Otimização!$D$26</c:f>
              <c:strCache>
                <c:ptCount val="1"/>
                <c:pt idx="0">
                  <c:v>Confiabilidade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Otimização!$A$27:$A$34</c:f>
              <c:numCache>
                <c:formatCode>General</c:formatCode>
                <c:ptCount val="8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</c:v>
                </c:pt>
                <c:pt idx="6">
                  <c:v>0.85</c:v>
                </c:pt>
                <c:pt idx="7">
                  <c:v>0.8</c:v>
                </c:pt>
              </c:numCache>
            </c:numRef>
          </c:xVal>
          <c:yVal>
            <c:numRef>
              <c:f>Otimização!$D$27:$D$34</c:f>
              <c:numCache>
                <c:formatCode>General</c:formatCode>
                <c:ptCount val="8"/>
                <c:pt idx="0">
                  <c:v>6.7509755119603103E-3</c:v>
                </c:pt>
                <c:pt idx="1">
                  <c:v>0.90970359546064195</c:v>
                </c:pt>
                <c:pt idx="2">
                  <c:v>0.90970359546064195</c:v>
                </c:pt>
                <c:pt idx="3">
                  <c:v>0.90970359546064195</c:v>
                </c:pt>
                <c:pt idx="4">
                  <c:v>0.90970359546064195</c:v>
                </c:pt>
                <c:pt idx="5">
                  <c:v>0.90970359546064195</c:v>
                </c:pt>
                <c:pt idx="6">
                  <c:v>0.90970359546064195</c:v>
                </c:pt>
                <c:pt idx="7">
                  <c:v>0.90970359546064195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0F-4E5D-923F-E95D3FCADAAC}"/>
            </c:ext>
          </c:extLst>
        </c:ser>
        <c:ser>
          <c:idx val="2"/>
          <c:order val="2"/>
          <c:tx>
            <c:strRef>
              <c:f>Otimização!$F$26</c:f>
              <c:strCache>
                <c:ptCount val="1"/>
                <c:pt idx="0">
                  <c:v>Tempo de execução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Otimização!$A$27:$A$34</c:f>
              <c:numCache>
                <c:formatCode>General</c:formatCode>
                <c:ptCount val="8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</c:v>
                </c:pt>
                <c:pt idx="6">
                  <c:v>0.85</c:v>
                </c:pt>
                <c:pt idx="7">
                  <c:v>0.8</c:v>
                </c:pt>
              </c:numCache>
            </c:numRef>
          </c:xVal>
          <c:yVal>
            <c:numRef>
              <c:f>Otimização!$F$27:$F$34</c:f>
              <c:numCache>
                <c:formatCode>General</c:formatCode>
                <c:ptCount val="8"/>
                <c:pt idx="0">
                  <c:v>0.94698786735534601</c:v>
                </c:pt>
                <c:pt idx="1">
                  <c:v>0.90673136711120605</c:v>
                </c:pt>
                <c:pt idx="2">
                  <c:v>0.88471817970275801</c:v>
                </c:pt>
                <c:pt idx="3">
                  <c:v>0.90227532386779696</c:v>
                </c:pt>
                <c:pt idx="4">
                  <c:v>0.92203021049499501</c:v>
                </c:pt>
                <c:pt idx="5">
                  <c:v>0.88325667381286599</c:v>
                </c:pt>
                <c:pt idx="6">
                  <c:v>0.978587865829467</c:v>
                </c:pt>
                <c:pt idx="7">
                  <c:v>0.91095733642578103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59-4234-BA66-130B521D8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44031"/>
        <c:axId val="108629055"/>
        <c:extLst/>
      </c:scatterChart>
      <c:valAx>
        <c:axId val="108644031"/>
        <c:scaling>
          <c:orientation val="minMax"/>
          <c:max val="0.99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Restrição - disponibilidade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629055"/>
        <c:crosses val="autoZero"/>
        <c:crossBetween val="midCat"/>
      </c:valAx>
      <c:valAx>
        <c:axId val="10862905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644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>
                <a:effectLst/>
              </a:rPr>
              <a:t>Distribuição 9 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Otimização!$B$12</c:f>
              <c:strCache>
                <c:ptCount val="1"/>
                <c:pt idx="0">
                  <c:v>Custo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Otimização!$A$13:$A$24</c:f>
              <c:numCache>
                <c:formatCode>General</c:formatCode>
                <c:ptCount val="12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0.94</c:v>
                </c:pt>
                <c:pt idx="6">
                  <c:v>0.93</c:v>
                </c:pt>
                <c:pt idx="7">
                  <c:v>0.92</c:v>
                </c:pt>
                <c:pt idx="8">
                  <c:v>0.91</c:v>
                </c:pt>
                <c:pt idx="9">
                  <c:v>0.9</c:v>
                </c:pt>
                <c:pt idx="10">
                  <c:v>0.85</c:v>
                </c:pt>
                <c:pt idx="11">
                  <c:v>0.8</c:v>
                </c:pt>
              </c:numCache>
            </c:numRef>
          </c:xVal>
          <c:yVal>
            <c:numRef>
              <c:f>Otimização!$B$13:$B$24</c:f>
              <c:numCache>
                <c:formatCode>0.0000</c:formatCode>
                <c:ptCount val="12"/>
                <c:pt idx="0">
                  <c:v>5724409.9057274796</c:v>
                </c:pt>
                <c:pt idx="1">
                  <c:v>5703393.6755446298</c:v>
                </c:pt>
                <c:pt idx="2">
                  <c:v>5097751.7019162402</c:v>
                </c:pt>
                <c:pt idx="3">
                  <c:v>3374136.3316078801</c:v>
                </c:pt>
                <c:pt idx="4">
                  <c:v>2138897.6976374402</c:v>
                </c:pt>
                <c:pt idx="5">
                  <c:v>1681704.52897035</c:v>
                </c:pt>
                <c:pt idx="6">
                  <c:v>1557252.4860980001</c:v>
                </c:pt>
                <c:pt idx="7">
                  <c:v>1548162.60220728</c:v>
                </c:pt>
                <c:pt idx="8">
                  <c:v>1548162.60220728</c:v>
                </c:pt>
                <c:pt idx="9">
                  <c:v>1548162.60220728</c:v>
                </c:pt>
                <c:pt idx="10">
                  <c:v>1548162.60220728</c:v>
                </c:pt>
                <c:pt idx="11">
                  <c:v>1548162.60220728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5D-4BDC-9A84-92AAC06AC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860031"/>
        <c:axId val="487849215"/>
      </c:scatterChart>
      <c:scatterChart>
        <c:scatterStyle val="lineMarker"/>
        <c:varyColors val="0"/>
        <c:ser>
          <c:idx val="1"/>
          <c:order val="1"/>
          <c:tx>
            <c:strRef>
              <c:f>Otimização!$C$12</c:f>
              <c:strCache>
                <c:ptCount val="1"/>
                <c:pt idx="0">
                  <c:v>Intervalo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Otimização!$A$13:$A$24</c:f>
              <c:numCache>
                <c:formatCode>General</c:formatCode>
                <c:ptCount val="12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0.94</c:v>
                </c:pt>
                <c:pt idx="6">
                  <c:v>0.93</c:v>
                </c:pt>
                <c:pt idx="7">
                  <c:v>0.92</c:v>
                </c:pt>
                <c:pt idx="8">
                  <c:v>0.91</c:v>
                </c:pt>
                <c:pt idx="9">
                  <c:v>0.9</c:v>
                </c:pt>
                <c:pt idx="10">
                  <c:v>0.85</c:v>
                </c:pt>
                <c:pt idx="11">
                  <c:v>0.8</c:v>
                </c:pt>
              </c:numCache>
            </c:numRef>
          </c:xVal>
          <c:yVal>
            <c:numRef>
              <c:f>Otimização!$C$13:$C$24</c:f>
              <c:numCache>
                <c:formatCode>General</c:formatCode>
                <c:ptCount val="12"/>
                <c:pt idx="0">
                  <c:v>1188.53414363</c:v>
                </c:pt>
                <c:pt idx="1">
                  <c:v>587.47750529999996</c:v>
                </c:pt>
                <c:pt idx="2">
                  <c:v>366.96258174000002</c:v>
                </c:pt>
                <c:pt idx="3">
                  <c:v>225.10699546999999</c:v>
                </c:pt>
                <c:pt idx="4">
                  <c:v>149.81299296</c:v>
                </c:pt>
                <c:pt idx="5">
                  <c:v>111.95957936000001</c:v>
                </c:pt>
                <c:pt idx="6">
                  <c:v>90.902712039999997</c:v>
                </c:pt>
                <c:pt idx="7">
                  <c:v>83.187922589999999</c:v>
                </c:pt>
                <c:pt idx="8">
                  <c:v>83.882052439999995</c:v>
                </c:pt>
                <c:pt idx="9">
                  <c:v>83.504899429999995</c:v>
                </c:pt>
                <c:pt idx="10">
                  <c:v>83.903166319999997</c:v>
                </c:pt>
                <c:pt idx="11">
                  <c:v>83.207425069999999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5D-4BDC-9A84-92AAC06AC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290495"/>
        <c:axId val="575302143"/>
      </c:scatterChart>
      <c:valAx>
        <c:axId val="487860031"/>
        <c:scaling>
          <c:orientation val="minMax"/>
          <c:max val="0.99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baseline="0">
                    <a:effectLst/>
                  </a:rPr>
                  <a:t>Restrição - disponibilidade</a:t>
                </a:r>
                <a:endParaRPr lang="pt-BR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7849215"/>
        <c:crosses val="autoZero"/>
        <c:crossBetween val="midCat"/>
      </c:valAx>
      <c:valAx>
        <c:axId val="487849215"/>
        <c:scaling>
          <c:orientation val="minMax"/>
          <c:max val="6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Custo [R$]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7860031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valAx>
        <c:axId val="5753021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Intervalo [h]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5290495"/>
        <c:crosses val="max"/>
        <c:crossBetween val="midCat"/>
      </c:valAx>
      <c:valAx>
        <c:axId val="5752904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5302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>
                <a:effectLst/>
              </a:rPr>
              <a:t>Distribuição 8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Otimização!$D$2</c:f>
              <c:strCache>
                <c:ptCount val="1"/>
                <c:pt idx="0">
                  <c:v>Confiabilidade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Otimização!$A$3:$A$10</c:f>
              <c:numCache>
                <c:formatCode>General</c:formatCode>
                <c:ptCount val="8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</c:v>
                </c:pt>
                <c:pt idx="6">
                  <c:v>0.85</c:v>
                </c:pt>
                <c:pt idx="7">
                  <c:v>0.8</c:v>
                </c:pt>
              </c:numCache>
            </c:numRef>
          </c:xVal>
          <c:yVal>
            <c:numRef>
              <c:f>Otimização!$D$3:$D$10</c:f>
              <c:numCache>
                <c:formatCode>0.00000E+00</c:formatCode>
                <c:ptCount val="8"/>
                <c:pt idx="0" formatCode="0.00E+00">
                  <c:v>2.11936825449911E-123</c:v>
                </c:pt>
                <c:pt idx="1">
                  <c:v>6.0693502722512101E-15</c:v>
                </c:pt>
                <c:pt idx="2">
                  <c:v>7.1113745540806196E-5</c:v>
                </c:pt>
                <c:pt idx="3" formatCode="0.000000000">
                  <c:v>2.1361710139327101E-2</c:v>
                </c:pt>
                <c:pt idx="4" formatCode="General">
                  <c:v>0.92645039921954397</c:v>
                </c:pt>
                <c:pt idx="5" formatCode="General">
                  <c:v>0.92645039921954397</c:v>
                </c:pt>
                <c:pt idx="6" formatCode="General">
                  <c:v>0.92645039921954397</c:v>
                </c:pt>
                <c:pt idx="7" formatCode="General">
                  <c:v>0.92645039921954397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83-4270-BE1D-DABBB03F8293}"/>
            </c:ext>
          </c:extLst>
        </c:ser>
        <c:ser>
          <c:idx val="1"/>
          <c:order val="1"/>
          <c:tx>
            <c:strRef>
              <c:f>Otimização!$E$2</c:f>
              <c:strCache>
                <c:ptCount val="1"/>
                <c:pt idx="0">
                  <c:v>Disponibilidade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Otimização!$A$3:$A$10</c:f>
              <c:numCache>
                <c:formatCode>General</c:formatCode>
                <c:ptCount val="8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</c:v>
                </c:pt>
                <c:pt idx="6">
                  <c:v>0.85</c:v>
                </c:pt>
                <c:pt idx="7">
                  <c:v>0.8</c:v>
                </c:pt>
              </c:numCache>
            </c:numRef>
          </c:xVal>
          <c:yVal>
            <c:numRef>
              <c:f>Otimização!$E$3:$E$10</c:f>
              <c:numCache>
                <c:formatCode>0.000000000</c:formatCode>
                <c:ptCount val="8"/>
                <c:pt idx="0" formatCode="General">
                  <c:v>0.99014778325123098</c:v>
                </c:pt>
                <c:pt idx="1">
                  <c:v>0.98</c:v>
                </c:pt>
                <c:pt idx="2" formatCode="General">
                  <c:v>0.97015079830724604</c:v>
                </c:pt>
                <c:pt idx="3" formatCode="General">
                  <c:v>0.96061561176761601</c:v>
                </c:pt>
                <c:pt idx="4" formatCode="General">
                  <c:v>0.95515724804338997</c:v>
                </c:pt>
                <c:pt idx="5" formatCode="General">
                  <c:v>0.95515724804338997</c:v>
                </c:pt>
                <c:pt idx="6" formatCode="General">
                  <c:v>0.95515724804338997</c:v>
                </c:pt>
                <c:pt idx="7" formatCode="General">
                  <c:v>0.95515724804338997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83-4270-BE1D-DABBB03F8293}"/>
            </c:ext>
          </c:extLst>
        </c:ser>
        <c:ser>
          <c:idx val="2"/>
          <c:order val="2"/>
          <c:tx>
            <c:strRef>
              <c:f>Otimização!$F$2</c:f>
              <c:strCache>
                <c:ptCount val="1"/>
                <c:pt idx="0">
                  <c:v>Tempo de execução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Otimização!$A$3:$A$10</c:f>
              <c:numCache>
                <c:formatCode>General</c:formatCode>
                <c:ptCount val="8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</c:v>
                </c:pt>
                <c:pt idx="6">
                  <c:v>0.85</c:v>
                </c:pt>
                <c:pt idx="7">
                  <c:v>0.8</c:v>
                </c:pt>
              </c:numCache>
            </c:numRef>
          </c:xVal>
          <c:yVal>
            <c:numRef>
              <c:f>Otimização!$F$3:$F$10</c:f>
              <c:numCache>
                <c:formatCode>General</c:formatCode>
                <c:ptCount val="8"/>
                <c:pt idx="0">
                  <c:v>0.66703510284423795</c:v>
                </c:pt>
                <c:pt idx="1">
                  <c:v>0.69623064994812001</c:v>
                </c:pt>
                <c:pt idx="2">
                  <c:v>0.78315544128417902</c:v>
                </c:pt>
                <c:pt idx="3">
                  <c:v>0.78733611106872503</c:v>
                </c:pt>
                <c:pt idx="4">
                  <c:v>0.85782575607299805</c:v>
                </c:pt>
                <c:pt idx="5">
                  <c:v>0.87666893005371005</c:v>
                </c:pt>
                <c:pt idx="6">
                  <c:v>0.94119143486022905</c:v>
                </c:pt>
                <c:pt idx="7">
                  <c:v>0.94119143486022905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39-4A2B-9E22-66CA58FBE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44031"/>
        <c:axId val="108629055"/>
        <c:extLst/>
      </c:scatterChart>
      <c:valAx>
        <c:axId val="108644031"/>
        <c:scaling>
          <c:orientation val="minMax"/>
          <c:max val="0.99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baseline="0">
                    <a:effectLst/>
                  </a:rPr>
                  <a:t>Restrição - disponibilidade</a:t>
                </a:r>
                <a:endParaRPr lang="pt-BR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629055"/>
        <c:crosses val="autoZero"/>
        <c:crossBetween val="midCat"/>
      </c:valAx>
      <c:valAx>
        <c:axId val="10862905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644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 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Otimização!$B$2</c:f>
              <c:strCache>
                <c:ptCount val="1"/>
                <c:pt idx="0">
                  <c:v>Custo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Otimização!$A$3:$A$10</c:f>
              <c:numCache>
                <c:formatCode>General</c:formatCode>
                <c:ptCount val="8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</c:v>
                </c:pt>
                <c:pt idx="6">
                  <c:v>0.85</c:v>
                </c:pt>
                <c:pt idx="7">
                  <c:v>0.8</c:v>
                </c:pt>
              </c:numCache>
            </c:numRef>
          </c:xVal>
          <c:yVal>
            <c:numRef>
              <c:f>Otimização!$B$3:$B$10</c:f>
              <c:numCache>
                <c:formatCode>0.0000</c:formatCode>
                <c:ptCount val="8"/>
                <c:pt idx="0">
                  <c:v>39378967.997435503</c:v>
                </c:pt>
                <c:pt idx="1">
                  <c:v>39378967.997435302</c:v>
                </c:pt>
                <c:pt idx="2">
                  <c:v>39376263.450973503</c:v>
                </c:pt>
                <c:pt idx="3">
                  <c:v>38576751.018492699</c:v>
                </c:pt>
                <c:pt idx="4">
                  <c:v>9139157.7577909697</c:v>
                </c:pt>
                <c:pt idx="5">
                  <c:v>9139157.7577909697</c:v>
                </c:pt>
                <c:pt idx="6">
                  <c:v>9139157.7577909697</c:v>
                </c:pt>
                <c:pt idx="7">
                  <c:v>9139157.7577909697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B2-46C5-95EF-A5BB391E7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860031"/>
        <c:axId val="487849215"/>
      </c:scatterChart>
      <c:scatterChart>
        <c:scatterStyle val="lineMarker"/>
        <c:varyColors val="0"/>
        <c:ser>
          <c:idx val="1"/>
          <c:order val="1"/>
          <c:tx>
            <c:strRef>
              <c:f>Otimização!$C$2</c:f>
              <c:strCache>
                <c:ptCount val="1"/>
                <c:pt idx="0">
                  <c:v>Intervalo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Otimização!$A$3:$A$10</c:f>
              <c:numCache>
                <c:formatCode>General</c:formatCode>
                <c:ptCount val="8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</c:v>
                </c:pt>
                <c:pt idx="6">
                  <c:v>0.85</c:v>
                </c:pt>
                <c:pt idx="7">
                  <c:v>0.8</c:v>
                </c:pt>
              </c:numCache>
            </c:numRef>
          </c:xVal>
          <c:yVal>
            <c:numRef>
              <c:f>Otimização!$C$3:$C$10</c:f>
              <c:numCache>
                <c:formatCode>General</c:formatCode>
                <c:ptCount val="8"/>
                <c:pt idx="0">
                  <c:v>201.85920966</c:v>
                </c:pt>
                <c:pt idx="1">
                  <c:v>98.320169120000003</c:v>
                </c:pt>
                <c:pt idx="2">
                  <c:v>65.211651599999996</c:v>
                </c:pt>
                <c:pt idx="3">
                  <c:v>48.618413740000001</c:v>
                </c:pt>
                <c:pt idx="4">
                  <c:v>13.40146234</c:v>
                </c:pt>
                <c:pt idx="5">
                  <c:v>13.068880910000001</c:v>
                </c:pt>
                <c:pt idx="6">
                  <c:v>13.0272755</c:v>
                </c:pt>
                <c:pt idx="7">
                  <c:v>13.49192654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B2-46C5-95EF-A5BB391E7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290495"/>
        <c:axId val="575302143"/>
      </c:scatterChart>
      <c:valAx>
        <c:axId val="487860031"/>
        <c:scaling>
          <c:orientation val="minMax"/>
          <c:max val="0.99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baseline="0">
                    <a:effectLst/>
                  </a:rPr>
                  <a:t>Restrição - disponibilidade</a:t>
                </a:r>
                <a:endParaRPr lang="pt-BR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7849215"/>
        <c:crosses val="autoZero"/>
        <c:crossBetween val="midCat"/>
      </c:valAx>
      <c:valAx>
        <c:axId val="487849215"/>
        <c:scaling>
          <c:orientation val="minMax"/>
          <c:min val="5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Custo [R$]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7860031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valAx>
        <c:axId val="5753021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Intervalo [h]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5290495"/>
        <c:crosses val="max"/>
        <c:crossBetween val="midCat"/>
      </c:valAx>
      <c:valAx>
        <c:axId val="5752904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5302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baseline="0">
                <a:effectLst/>
              </a:rPr>
              <a:t>Distribuição 9 </a:t>
            </a:r>
            <a:endParaRPr lang="pt-BR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Otimização!$D$12</c:f>
              <c:strCache>
                <c:ptCount val="1"/>
                <c:pt idx="0">
                  <c:v>Confiabilidade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Otimização!$A$13:$A$24</c:f>
              <c:numCache>
                <c:formatCode>General</c:formatCode>
                <c:ptCount val="12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0.94</c:v>
                </c:pt>
                <c:pt idx="6">
                  <c:v>0.93</c:v>
                </c:pt>
                <c:pt idx="7">
                  <c:v>0.92</c:v>
                </c:pt>
                <c:pt idx="8">
                  <c:v>0.91</c:v>
                </c:pt>
                <c:pt idx="9">
                  <c:v>0.9</c:v>
                </c:pt>
                <c:pt idx="10">
                  <c:v>0.85</c:v>
                </c:pt>
                <c:pt idx="11">
                  <c:v>0.8</c:v>
                </c:pt>
              </c:numCache>
            </c:numRef>
          </c:xVal>
          <c:yVal>
            <c:numRef>
              <c:f>Otimização!$D$13:$D$24</c:f>
              <c:numCache>
                <c:formatCode>General</c:formatCode>
                <c:ptCount val="12"/>
                <c:pt idx="0" formatCode="0.00E+00">
                  <c:v>1.1777425972299999E-10</c:v>
                </c:pt>
                <c:pt idx="1">
                  <c:v>3.76960815267552E-3</c:v>
                </c:pt>
                <c:pt idx="2" formatCode="0.00000E+00">
                  <c:v>0.114248077441158</c:v>
                </c:pt>
                <c:pt idx="3" formatCode="0.000000000">
                  <c:v>0.44053230400725502</c:v>
                </c:pt>
                <c:pt idx="4">
                  <c:v>0.69804709038803903</c:v>
                </c:pt>
                <c:pt idx="5">
                  <c:v>0.81915391612174004</c:v>
                </c:pt>
                <c:pt idx="6">
                  <c:v>0.87709750752583004</c:v>
                </c:pt>
                <c:pt idx="7">
                  <c:v>0.89446516198371195</c:v>
                </c:pt>
                <c:pt idx="8">
                  <c:v>0.89446516198371195</c:v>
                </c:pt>
                <c:pt idx="9">
                  <c:v>0.89446516198371195</c:v>
                </c:pt>
                <c:pt idx="10">
                  <c:v>0.89446516198371195</c:v>
                </c:pt>
                <c:pt idx="11">
                  <c:v>0.89446516198371195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E4-438A-B5A3-7BBD8F60BCEC}"/>
            </c:ext>
          </c:extLst>
        </c:ser>
        <c:ser>
          <c:idx val="1"/>
          <c:order val="1"/>
          <c:tx>
            <c:strRef>
              <c:f>Otimização!$E$12</c:f>
              <c:strCache>
                <c:ptCount val="1"/>
                <c:pt idx="0">
                  <c:v>Disponibilidade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Otimização!$A$13:$A$24</c:f>
              <c:numCache>
                <c:formatCode>General</c:formatCode>
                <c:ptCount val="12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0.94</c:v>
                </c:pt>
                <c:pt idx="6">
                  <c:v>0.93</c:v>
                </c:pt>
                <c:pt idx="7">
                  <c:v>0.92</c:v>
                </c:pt>
                <c:pt idx="8">
                  <c:v>0.91</c:v>
                </c:pt>
                <c:pt idx="9">
                  <c:v>0.9</c:v>
                </c:pt>
                <c:pt idx="10">
                  <c:v>0.85</c:v>
                </c:pt>
                <c:pt idx="11">
                  <c:v>0.8</c:v>
                </c:pt>
              </c:numCache>
            </c:numRef>
          </c:xVal>
          <c:yVal>
            <c:numRef>
              <c:f>Otimização!$E$13:$E$24</c:f>
              <c:numCache>
                <c:formatCode>General</c:formatCode>
                <c:ptCount val="12"/>
                <c:pt idx="0" formatCode="0.000000000">
                  <c:v>0.99000000000058297</c:v>
                </c:pt>
                <c:pt idx="1">
                  <c:v>0.98000361498781297</c:v>
                </c:pt>
                <c:pt idx="2">
                  <c:v>0.97001304961923496</c:v>
                </c:pt>
                <c:pt idx="3">
                  <c:v>0.96007452768864199</c:v>
                </c:pt>
                <c:pt idx="4">
                  <c:v>0.95018409603363696</c:v>
                </c:pt>
                <c:pt idx="5">
                  <c:v>0.94000023785331199</c:v>
                </c:pt>
                <c:pt idx="6">
                  <c:v>0.93035357665914498</c:v>
                </c:pt>
                <c:pt idx="7">
                  <c:v>0.92599607779279203</c:v>
                </c:pt>
                <c:pt idx="8">
                  <c:v>0.92599607779279203</c:v>
                </c:pt>
                <c:pt idx="9">
                  <c:v>0.92599607779279203</c:v>
                </c:pt>
                <c:pt idx="10">
                  <c:v>0.92599607779279203</c:v>
                </c:pt>
                <c:pt idx="11">
                  <c:v>0.92599607779279203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E4-438A-B5A3-7BBD8F60BCEC}"/>
            </c:ext>
          </c:extLst>
        </c:ser>
        <c:ser>
          <c:idx val="2"/>
          <c:order val="2"/>
          <c:tx>
            <c:strRef>
              <c:f>Otimização!$F$12</c:f>
              <c:strCache>
                <c:ptCount val="1"/>
                <c:pt idx="0">
                  <c:v>Tempo de execução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Otimização!$A$13:$A$24</c:f>
              <c:numCache>
                <c:formatCode>General</c:formatCode>
                <c:ptCount val="12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0.94</c:v>
                </c:pt>
                <c:pt idx="6">
                  <c:v>0.93</c:v>
                </c:pt>
                <c:pt idx="7">
                  <c:v>0.92</c:v>
                </c:pt>
                <c:pt idx="8">
                  <c:v>0.91</c:v>
                </c:pt>
                <c:pt idx="9">
                  <c:v>0.9</c:v>
                </c:pt>
                <c:pt idx="10">
                  <c:v>0.85</c:v>
                </c:pt>
                <c:pt idx="11">
                  <c:v>0.8</c:v>
                </c:pt>
              </c:numCache>
            </c:numRef>
          </c:xVal>
          <c:yVal>
            <c:numRef>
              <c:f>Otimização!$F$13:$F$24</c:f>
              <c:numCache>
                <c:formatCode>General</c:formatCode>
                <c:ptCount val="12"/>
                <c:pt idx="0">
                  <c:v>0.68371772766113204</c:v>
                </c:pt>
                <c:pt idx="1">
                  <c:v>0.84274601936340299</c:v>
                </c:pt>
                <c:pt idx="2">
                  <c:v>0.94327449798583896</c:v>
                </c:pt>
                <c:pt idx="3">
                  <c:v>0.92736935615539495</c:v>
                </c:pt>
                <c:pt idx="4">
                  <c:v>0.90869545936584395</c:v>
                </c:pt>
                <c:pt idx="5">
                  <c:v>0.88335752487182595</c:v>
                </c:pt>
                <c:pt idx="6">
                  <c:v>0.88474106788635198</c:v>
                </c:pt>
                <c:pt idx="7">
                  <c:v>0.91753721237182595</c:v>
                </c:pt>
                <c:pt idx="8">
                  <c:v>0.89322662353515603</c:v>
                </c:pt>
                <c:pt idx="9">
                  <c:v>0.90960812568664495</c:v>
                </c:pt>
                <c:pt idx="10">
                  <c:v>0.89657211303710904</c:v>
                </c:pt>
                <c:pt idx="11">
                  <c:v>0.89657211303710904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86-46C7-AFC0-404E641BE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44031"/>
        <c:axId val="108629055"/>
        <c:extLst/>
      </c:scatterChart>
      <c:valAx>
        <c:axId val="108644031"/>
        <c:scaling>
          <c:orientation val="minMax"/>
          <c:max val="0.99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baseline="0">
                    <a:effectLst/>
                  </a:rPr>
                  <a:t>Restrição - disponibilidade</a:t>
                </a:r>
                <a:endParaRPr lang="pt-BR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629055"/>
        <c:crosses val="autoZero"/>
        <c:crossBetween val="midCat"/>
      </c:valAx>
      <c:valAx>
        <c:axId val="10862905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644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Restrição de  confiabildiade</a:t>
            </a:r>
            <a:r>
              <a:rPr lang="pt-BR" baseline="0"/>
              <a:t> de </a:t>
            </a:r>
            <a:r>
              <a:rPr lang="pt-BR"/>
              <a:t>95%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Otimização!$D$36</c:f>
              <c:strCache>
                <c:ptCount val="1"/>
                <c:pt idx="0">
                  <c:v>Confiabilidade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Otimização!$A$37:$A$39</c:f>
              <c:numCache>
                <c:formatCode>General</c:formatCode>
                <c:ptCount val="3"/>
                <c:pt idx="0">
                  <c:v>8</c:v>
                </c:pt>
                <c:pt idx="1">
                  <c:v>9</c:v>
                </c:pt>
                <c:pt idx="2">
                  <c:v>10</c:v>
                </c:pt>
              </c:numCache>
            </c:numRef>
          </c:xVal>
          <c:yVal>
            <c:numRef>
              <c:f>Otimização!$D$37:$D$39</c:f>
              <c:numCache>
                <c:formatCode>General</c:formatCode>
                <c:ptCount val="3"/>
                <c:pt idx="0">
                  <c:v>0.95477363278646099</c:v>
                </c:pt>
                <c:pt idx="1">
                  <c:v>0.95050122293744299</c:v>
                </c:pt>
                <c:pt idx="2">
                  <c:v>0.95016396262583602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E0-4238-8338-C6CDA5235ACC}"/>
            </c:ext>
          </c:extLst>
        </c:ser>
        <c:ser>
          <c:idx val="1"/>
          <c:order val="1"/>
          <c:tx>
            <c:strRef>
              <c:f>Otimização!$E$36</c:f>
              <c:strCache>
                <c:ptCount val="1"/>
                <c:pt idx="0">
                  <c:v>Disponibilidade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Otimização!$A$37:$A$39</c:f>
              <c:numCache>
                <c:formatCode>General</c:formatCode>
                <c:ptCount val="3"/>
                <c:pt idx="0">
                  <c:v>8</c:v>
                </c:pt>
                <c:pt idx="1">
                  <c:v>9</c:v>
                </c:pt>
                <c:pt idx="2">
                  <c:v>10</c:v>
                </c:pt>
              </c:numCache>
            </c:numRef>
          </c:xVal>
          <c:yVal>
            <c:numRef>
              <c:f>Otimização!$E$37:$E$39</c:f>
              <c:numCache>
                <c:formatCode>General</c:formatCode>
                <c:ptCount val="3"/>
                <c:pt idx="0">
                  <c:v>0.95091222104822104</c:v>
                </c:pt>
                <c:pt idx="1">
                  <c:v>0.89891979703574898</c:v>
                </c:pt>
                <c:pt idx="2">
                  <c:v>0.98499869933574402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E0-4238-8338-C6CDA5235A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00700959"/>
        <c:axId val="700701375"/>
      </c:scatterChart>
      <c:scatterChart>
        <c:scatterStyle val="lineMarker"/>
        <c:varyColors val="0"/>
        <c:ser>
          <c:idx val="2"/>
          <c:order val="2"/>
          <c:tx>
            <c:strRef>
              <c:f>Otimização!$B$36</c:f>
              <c:strCache>
                <c:ptCount val="1"/>
                <c:pt idx="0">
                  <c:v>Custo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3.3356497567755362E-2"/>
                  <c:y val="9.2272202998846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FE0-4238-8338-C6CDA5235ACC}"/>
                </c:ext>
              </c:extLst>
            </c:dLbl>
            <c:dLbl>
              <c:idx val="1"/>
              <c:layout>
                <c:manualLayout>
                  <c:x val="1.3898540653231411E-2"/>
                  <c:y val="-2.7681660899653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FE0-4238-8338-C6CDA5235ACC}"/>
                </c:ext>
              </c:extLst>
            </c:dLbl>
            <c:dLbl>
              <c:idx val="2"/>
              <c:layout>
                <c:manualLayout>
                  <c:x val="-0.10562890896455862"/>
                  <c:y val="-9.227220299884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FE0-4238-8338-C6CDA5235ACC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Otimização!$A$37:$A$39</c:f>
              <c:numCache>
                <c:formatCode>General</c:formatCode>
                <c:ptCount val="3"/>
                <c:pt idx="0">
                  <c:v>8</c:v>
                </c:pt>
                <c:pt idx="1">
                  <c:v>9</c:v>
                </c:pt>
                <c:pt idx="2">
                  <c:v>10</c:v>
                </c:pt>
              </c:numCache>
            </c:numRef>
          </c:xVal>
          <c:yVal>
            <c:numRef>
              <c:f>Otimização!$B$37:$B$39</c:f>
              <c:numCache>
                <c:formatCode>0.0000</c:formatCode>
                <c:ptCount val="3"/>
                <c:pt idx="0">
                  <c:v>9384437.6882416606</c:v>
                </c:pt>
                <c:pt idx="1">
                  <c:v>1770206.77422337</c:v>
                </c:pt>
                <c:pt idx="2" formatCode="General">
                  <c:v>320755.66560573701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E0-4238-8338-C6CDA5235ACC}"/>
            </c:ext>
          </c:extLst>
        </c:ser>
        <c:ser>
          <c:idx val="3"/>
          <c:order val="3"/>
          <c:tx>
            <c:strRef>
              <c:f>Otimização!$G$36</c:f>
              <c:strCache>
                <c:ptCount val="1"/>
                <c:pt idx="0">
                  <c:v>Custo mínimo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3.6136205698401667E-2"/>
                  <c:y val="5.99769319492502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FE0-4238-8338-C6CDA5235ACC}"/>
                </c:ext>
              </c:extLst>
            </c:dLbl>
            <c:dLbl>
              <c:idx val="1"/>
              <c:layout>
                <c:manualLayout>
                  <c:x val="1.1118832522585128E-2"/>
                  <c:y val="4.613610149942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FE0-4238-8338-C6CDA5235ACC}"/>
                </c:ext>
              </c:extLst>
            </c:dLbl>
            <c:dLbl>
              <c:idx val="2"/>
              <c:layout>
                <c:manualLayout>
                  <c:x val="-0.10284920083391254"/>
                  <c:y val="-2.30680507497117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FE0-4238-8338-C6CDA5235ACC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>
                  <c:manualLayout>
                    <c:x val="3.6136205698401667E-2"/>
                    <c:y val="5.9976931949250287E-2"/>
                  </c:manualLayout>
                </c15:layout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Otimização!$A$37:$A$39</c:f>
              <c:numCache>
                <c:formatCode>General</c:formatCode>
                <c:ptCount val="3"/>
                <c:pt idx="0">
                  <c:v>8</c:v>
                </c:pt>
                <c:pt idx="1">
                  <c:v>9</c:v>
                </c:pt>
                <c:pt idx="2">
                  <c:v>10</c:v>
                </c:pt>
              </c:numCache>
            </c:numRef>
          </c:xVal>
          <c:yVal>
            <c:numRef>
              <c:f>Otimização!$G$37:$G$39</c:f>
              <c:numCache>
                <c:formatCode>General</c:formatCode>
                <c:ptCount val="3"/>
                <c:pt idx="0">
                  <c:v>9139157.7577909697</c:v>
                </c:pt>
                <c:pt idx="1">
                  <c:v>1548162.60220728</c:v>
                </c:pt>
                <c:pt idx="2">
                  <c:v>300148.15702970402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FE0-4238-8338-C6CDA5235A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65507471"/>
        <c:axId val="765506639"/>
      </c:scatterChart>
      <c:valAx>
        <c:axId val="700700959"/>
        <c:scaling>
          <c:orientation val="minMax"/>
          <c:max val="10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Distribuição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0701375"/>
        <c:crosses val="autoZero"/>
        <c:crossBetween val="midCat"/>
        <c:majorUnit val="1"/>
      </c:valAx>
      <c:valAx>
        <c:axId val="700701375"/>
        <c:scaling>
          <c:orientation val="minMax"/>
          <c:max val="1"/>
          <c:min val="0.9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Disponibilidade</a:t>
                </a:r>
                <a:r>
                  <a:rPr lang="pt-BR" baseline="0"/>
                  <a:t> e confiabilidade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0700959"/>
        <c:crosses val="autoZero"/>
        <c:crossBetween val="midCat"/>
      </c:valAx>
      <c:valAx>
        <c:axId val="765506639"/>
        <c:scaling>
          <c:orientation val="minMax"/>
          <c:max val="100000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Custo de operação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5507471"/>
        <c:crosses val="max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valAx>
        <c:axId val="7655074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5506639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180975</xdr:colOff>
      <xdr:row>22</xdr:row>
      <xdr:rowOff>87312</xdr:rowOff>
    </xdr:from>
    <xdr:to>
      <xdr:col>17</xdr:col>
      <xdr:colOff>142875</xdr:colOff>
      <xdr:row>37</xdr:row>
      <xdr:rowOff>122237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953A8C1-D288-4E2E-BE7D-9FCADCE2C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168275</xdr:colOff>
      <xdr:row>38</xdr:row>
      <xdr:rowOff>11112</xdr:rowOff>
    </xdr:from>
    <xdr:to>
      <xdr:col>17</xdr:col>
      <xdr:colOff>130175</xdr:colOff>
      <xdr:row>53</xdr:row>
      <xdr:rowOff>46037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19E452F-760F-47A5-B61B-255DD3803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190500</xdr:colOff>
      <xdr:row>53</xdr:row>
      <xdr:rowOff>179387</xdr:rowOff>
    </xdr:from>
    <xdr:to>
      <xdr:col>17</xdr:col>
      <xdr:colOff>152400</xdr:colOff>
      <xdr:row>69</xdr:row>
      <xdr:rowOff>39687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52841F5-6AD0-486C-BE41-DB39E308A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1106487</xdr:colOff>
      <xdr:row>37</xdr:row>
      <xdr:rowOff>93662</xdr:rowOff>
    </xdr:from>
    <xdr:to>
      <xdr:col>10</xdr:col>
      <xdr:colOff>1047750</xdr:colOff>
      <xdr:row>52</xdr:row>
      <xdr:rowOff>149225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D746533-28A7-4B11-9DF7-727F8F770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1131888</xdr:colOff>
      <xdr:row>53</xdr:row>
      <xdr:rowOff>46037</xdr:rowOff>
    </xdr:from>
    <xdr:to>
      <xdr:col>10</xdr:col>
      <xdr:colOff>1063625</xdr:colOff>
      <xdr:row>68</xdr:row>
      <xdr:rowOff>44450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1AF52C0-8E37-464E-9BCD-C2416274D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1120775</xdr:colOff>
      <xdr:row>68</xdr:row>
      <xdr:rowOff>103187</xdr:rowOff>
    </xdr:from>
    <xdr:to>
      <xdr:col>10</xdr:col>
      <xdr:colOff>1016000</xdr:colOff>
      <xdr:row>83</xdr:row>
      <xdr:rowOff>144462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3B4407A-7AED-4616-8533-35AFF2630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415925</xdr:colOff>
      <xdr:row>5</xdr:row>
      <xdr:rowOff>11112</xdr:rowOff>
    </xdr:from>
    <xdr:to>
      <xdr:col>10</xdr:col>
      <xdr:colOff>111125</xdr:colOff>
      <xdr:row>20</xdr:row>
      <xdr:rowOff>46037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1309732-9852-4F82-AC2A-2F884155C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3</xdr:row>
      <xdr:rowOff>163512</xdr:rowOff>
    </xdr:from>
    <xdr:to>
      <xdr:col>9</xdr:col>
      <xdr:colOff>533400</xdr:colOff>
      <xdr:row>19</xdr:row>
      <xdr:rowOff>17462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F403B8-D3CF-4B72-839F-CF66A300D4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4</xdr:row>
      <xdr:rowOff>39687</xdr:rowOff>
    </xdr:from>
    <xdr:to>
      <xdr:col>9</xdr:col>
      <xdr:colOff>400050</xdr:colOff>
      <xdr:row>19</xdr:row>
      <xdr:rowOff>74612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028472-85F2-461A-A8EF-4CBDCCD7B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33</xdr:row>
      <xdr:rowOff>179387</xdr:rowOff>
    </xdr:from>
    <xdr:to>
      <xdr:col>14</xdr:col>
      <xdr:colOff>381000</xdr:colOff>
      <xdr:row>49</xdr:row>
      <xdr:rowOff>36512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02E1F9-A762-4985-A04F-1BFAA3A947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466725</xdr:colOff>
      <xdr:row>34</xdr:row>
      <xdr:rowOff>9525</xdr:rowOff>
    </xdr:from>
    <xdr:to>
      <xdr:col>21</xdr:col>
      <xdr:colOff>295275</xdr:colOff>
      <xdr:row>49</xdr:row>
      <xdr:rowOff>57150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329A135-AA0F-4E2A-A184-20DC37302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120650</xdr:colOff>
      <xdr:row>17</xdr:row>
      <xdr:rowOff>49212</xdr:rowOff>
    </xdr:from>
    <xdr:to>
      <xdr:col>12</xdr:col>
      <xdr:colOff>292100</xdr:colOff>
      <xdr:row>32</xdr:row>
      <xdr:rowOff>84137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5F89537-B6A5-4157-A5A2-D9BF47BCA4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352425</xdr:colOff>
      <xdr:row>0</xdr:row>
      <xdr:rowOff>57150</xdr:rowOff>
    </xdr:from>
    <xdr:to>
      <xdr:col>19</xdr:col>
      <xdr:colOff>180975</xdr:colOff>
      <xdr:row>15</xdr:row>
      <xdr:rowOff>104775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CAD6D24-6AD9-4D61-A1A7-DF241334F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85725</xdr:colOff>
      <xdr:row>0</xdr:row>
      <xdr:rowOff>55562</xdr:rowOff>
    </xdr:from>
    <xdr:to>
      <xdr:col>12</xdr:col>
      <xdr:colOff>254000</xdr:colOff>
      <xdr:row>15</xdr:row>
      <xdr:rowOff>96837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C2E3F92-31AF-4DF1-B6CB-5D475B5419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381000</xdr:colOff>
      <xdr:row>17</xdr:row>
      <xdr:rowOff>34925</xdr:rowOff>
    </xdr:from>
    <xdr:to>
      <xdr:col>19</xdr:col>
      <xdr:colOff>209550</xdr:colOff>
      <xdr:row>32</xdr:row>
      <xdr:rowOff>85725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1BB2EE0-F1B7-4236-BA23-44894A20A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628650</xdr:colOff>
      <xdr:row>47</xdr:row>
      <xdr:rowOff>74612</xdr:rowOff>
    </xdr:from>
    <xdr:to>
      <xdr:col>4</xdr:col>
      <xdr:colOff>1073150</xdr:colOff>
      <xdr:row>62</xdr:row>
      <xdr:rowOff>115887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DF23B99-608A-46BB-ABDB-FF78ED024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BF4BCB-653F-4331-ACD9-9EF26BC02590}" name="Tabela1" displayName="Tabela1" ref="F1:K6" totalsRowShown="0" headerRowDxfId="23" dataDxfId="22">
  <autoFilter ref="F1:K6" xr:uid="{C4BF4BCB-653F-4331-ACD9-9EF26BC02590}"/>
  <tableColumns count="6">
    <tableColumn id="1" xr3:uid="{664CCFD5-13BE-48F5-831D-A81148CE5934}" name="Tempo 8" dataDxfId="21"/>
    <tableColumn id="2" xr3:uid="{58A4E70C-B154-499C-A83D-16703422D9D6}" name="Confiabilidade 8" dataDxfId="20">
      <calculatedColumnFormula>EXP(-((F2/B$7)^(B$6)))</calculatedColumnFormula>
    </tableColumn>
    <tableColumn id="3" xr3:uid="{EA735E32-B1AE-47AE-A2DA-64DF86D19A8F}" name="Tempo 9" dataDxfId="19"/>
    <tableColumn id="4" xr3:uid="{49B50FFC-5863-4856-BC92-F3B65CC06D69}" name="Confiabilidade 9" dataDxfId="18">
      <calculatedColumnFormula>EXP(-((H2/C$7)^(C$6)))</calculatedColumnFormula>
    </tableColumn>
    <tableColumn id="5" xr3:uid="{D679871E-1A2A-4C44-AB14-26DC8BA2ABE5}" name="Tempo 10" dataDxfId="17"/>
    <tableColumn id="6" xr3:uid="{485AD8A3-FB46-416E-BDE3-440FEA41085F}" name="Confiabilidade 10" dataDxfId="16">
      <calculatedColumnFormula>EXP(-((J2/D$7)^(D$6)))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629942-2D0A-4174-9586-10CCB047D8C2}" name="Tabela2" displayName="Tabela2" ref="F8:N22" totalsRowShown="0" headerRowDxfId="15">
  <autoFilter ref="F8:N22" xr:uid="{84629942-2D0A-4174-9586-10CCB047D8C2}"/>
  <tableColumns count="9">
    <tableColumn id="1" xr3:uid="{34E80AD5-889D-4D55-A90A-12CEDE788ADC}" name="Intervalo 8" dataDxfId="14"/>
    <tableColumn id="2" xr3:uid="{D6C78803-3D69-4FA6-91F3-B8F6C5237716}" name="Confiabilidade 8">
      <calculatedColumnFormula>EXP(-((F9/B$7)^(B$6)))</calculatedColumnFormula>
    </tableColumn>
    <tableColumn id="3" xr3:uid="{FC366ABF-D588-4C80-BF15-1762DD6E9A52}" name="Custos 8" dataDxfId="13">
      <calculatedColumnFormula>($B$5/F9)*($B$2*G9)+($B$5/MEDIAN(F$2:F$6)*($B$3+$B$4)*(1-G9))</calculatedColumnFormula>
    </tableColumn>
    <tableColumn id="4" xr3:uid="{87E6A290-5C35-4F05-B116-502612F27A61}" name="Intervalo 9" dataDxfId="4"/>
    <tableColumn id="5" xr3:uid="{A4A8B5DF-97A9-4475-BD82-4FAFCD893FF6}" name="Confiabilidade 9">
      <calculatedColumnFormula>EXP(-((I9/C$7)^(C$6)))</calculatedColumnFormula>
    </tableColumn>
    <tableColumn id="6" xr3:uid="{B48B826E-C76B-41A9-865A-451E4D31B386}" name="Custos 9" dataDxfId="12">
      <calculatedColumnFormula>($B$5/I9)*($B$2*J9)+($B$5/MEDIAN(H$2:H$6)*($B$3+$B$4)*(1-J9))</calculatedColumnFormula>
    </tableColumn>
    <tableColumn id="7" xr3:uid="{4D43E344-18C6-427E-A208-9A819F5D59EA}" name="Intervalo 10" dataDxfId="3"/>
    <tableColumn id="8" xr3:uid="{C6EE45E4-C1B5-46DB-A0F0-A60485BFFFE5}" name="Confiabilidade 10" dataDxfId="11">
      <calculatedColumnFormula>EXP(-((L9/D$7)^(D$6)))</calculatedColumnFormula>
    </tableColumn>
    <tableColumn id="9" xr3:uid="{F5150592-17FC-4657-A213-31128D310165}" name="Custos 10" dataDxfId="10">
      <calculatedColumnFormula>($B$5/L9)*($B$2*M9)+($B$5/MEDIAN(J$2:J$6))*(($B$3+$B$4)*(1-M9))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EB38B9-AE27-4A37-9665-35BB63BF85AD}" name="Tabela3" displayName="Tabela3" ref="F23:K37" totalsRowShown="0" headerRowDxfId="9" dataDxfId="8" dataCellStyle="Porcentagem">
  <autoFilter ref="F23:K37" xr:uid="{88EB38B9-AE27-4A37-9665-35BB63BF85AD}"/>
  <tableColumns count="6">
    <tableColumn id="1" xr3:uid="{CFCF50A6-6E3E-44E5-BDCA-5A01C914CF1D}" name="Intervalo 8" dataDxfId="2"/>
    <tableColumn id="2" xr3:uid="{C0097A0D-EBF9-4150-AD5C-A09E4BE6A538}" name="Disponibilidade 8" dataDxfId="7" dataCellStyle="Porcentagem">
      <calculatedColumnFormula>F9/(((G9*B$9)+(1-G9)*B$10)+F9)</calculatedColumnFormula>
    </tableColumn>
    <tableColumn id="3" xr3:uid="{E0298BF7-CC76-4BDD-9CDB-0FA786CFDAB9}" name="Intervalo 9" dataDxfId="1"/>
    <tableColumn id="4" xr3:uid="{C57314A9-1013-478C-9BE1-69FCA481EFEB}" name="Disponibilidade 9" dataDxfId="6" dataCellStyle="Porcentagem">
      <calculatedColumnFormula>I9/(((J9*C$9)+(1-J9)*C$10)+I9)</calculatedColumnFormula>
    </tableColumn>
    <tableColumn id="5" xr3:uid="{9D87930C-A537-41CD-9794-1AA8654F5869}" name="Intervalo 10" dataDxfId="0"/>
    <tableColumn id="6" xr3:uid="{91634436-E407-44C7-9778-1532078177F7}" name="Disponibilidade 10" dataDxfId="5" dataCellStyle="Porcentagem">
      <calculatedColumnFormula>L9/(((M9*D$9)+(1-M9)*D$10)+L9)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3C39F2-1327-47EE-9F16-9F6342D10460}" name="Tabela5" displayName="Tabela5" ref="A1:B102" totalsRowShown="0">
  <autoFilter ref="A1:B102" xr:uid="{E23C39F2-1327-47EE-9F16-9F6342D10460}"/>
  <tableColumns count="2">
    <tableColumn id="1" xr3:uid="{08D13AE8-A4BA-4B5A-8B71-4815B64321D2}" name="Tempo"/>
    <tableColumn id="2" xr3:uid="{D2B00276-DF3C-4798-B079-3C554E9E0E4F}" name="Confiabilidade" dataCellStyle="Porcentagem">
      <calculatedColumnFormula>EXP(-((A2/D$3)^(D$2)))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8C53C27-355E-4A2A-AEC5-069EB20B0EA3}" name="Tabela6" displayName="Tabela6" ref="A1:B102" totalsRowShown="0">
  <autoFilter ref="A1:B102" xr:uid="{E8C53C27-355E-4A2A-AEC5-069EB20B0EA3}"/>
  <tableColumns count="2">
    <tableColumn id="1" xr3:uid="{E05DA6CF-CD9B-4BE3-AB74-6933175395BD}" name="Tempo"/>
    <tableColumn id="2" xr3:uid="{4C0C6C4B-1430-4C35-B686-41A17BDD4164}" name="Confiabilidade">
      <calculatedColumnFormula>EXP(-((A2/D$3)^(D$2)))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7C8AC4C-7B19-46A1-ACD9-7BDAF4981E4D}" name="Tabela7" displayName="Tabela7" ref="A1:B102" totalsRowShown="0">
  <autoFilter ref="A1:B102" xr:uid="{97C8AC4C-7B19-46A1-ACD9-7BDAF4981E4D}"/>
  <tableColumns count="2">
    <tableColumn id="1" xr3:uid="{053CDFAB-E582-4079-81DD-B05763FAA081}" name="Tempo"/>
    <tableColumn id="2" xr3:uid="{7F42A13E-AA90-4B4B-8C57-71038FC2FA90}" name="Confiabilidade">
      <calculatedColumnFormula>EXP(-((A2/D$3)^(D$2)))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3D8B62F-10AB-4A1F-AC9A-05BD1DB36B8C}" name="Tabela8" displayName="Tabela8" ref="A2:F10" totalsRowShown="0">
  <autoFilter ref="A2:F10" xr:uid="{F3D8B62F-10AB-4A1F-AC9A-05BD1DB36B8C}"/>
  <tableColumns count="6">
    <tableColumn id="1" xr3:uid="{675C324F-C5E3-43CD-A809-80625C5548C6}" name="Restrição"/>
    <tableColumn id="3" xr3:uid="{00857789-D9FB-4BB0-9021-F81F3BF4F86A}" name="Custo" dataDxfId="29"/>
    <tableColumn id="4" xr3:uid="{30D29FBD-3A11-4EAA-A6C9-36994DC08D11}" name="Intervalo"/>
    <tableColumn id="5" xr3:uid="{ADB7F68B-B104-4A37-BAEE-EAF5FDE65294}" name="Confiabilidade"/>
    <tableColumn id="6" xr3:uid="{C47B3A1B-5482-4C61-8D94-0AD39321D036}" name="Disponibilidade"/>
    <tableColumn id="7" xr3:uid="{BC09ECB0-E620-4029-B6E1-A15EB58C0454}" name="Tempo de execuçã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4B4F5A5-0648-4B26-9B99-CFCAABC257A4}" name="Tabela9" displayName="Tabela9" ref="A12:F24" totalsRowShown="0">
  <autoFilter ref="A12:F24" xr:uid="{34B4F5A5-0648-4B26-9B99-CFCAABC257A4}"/>
  <tableColumns count="6">
    <tableColumn id="1" xr3:uid="{B8E437B3-D846-46A5-9424-E362F8CC7CB1}" name="Restrição"/>
    <tableColumn id="3" xr3:uid="{0538C644-5521-4375-990B-8DD5106C4082}" name="Custo" dataDxfId="28"/>
    <tableColumn id="4" xr3:uid="{5127D8EF-8C6A-4E5C-B70B-04306757F7D2}" name="Intervalo"/>
    <tableColumn id="5" xr3:uid="{A7CB705C-526A-4572-B556-B39BF16FC858}" name="Confiabilidade"/>
    <tableColumn id="6" xr3:uid="{1B9F22F3-FE78-47F6-A56E-E490C5D80FA7}" name="Disponibilidade"/>
    <tableColumn id="7" xr3:uid="{EF68C3A7-8B58-4DE7-B0ED-7A4EA4AD712C}" name="Tempo de execuçã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B21DC6F-21DE-4EB1-8F97-037531818EDE}" name="Tabela10" displayName="Tabela10" ref="A26:F34" totalsRowShown="0">
  <autoFilter ref="A26:F34" xr:uid="{EB21DC6F-21DE-4EB1-8F97-037531818EDE}"/>
  <tableColumns count="6">
    <tableColumn id="1" xr3:uid="{B39E6F95-D40A-4474-9602-3961DDC4EBF9}" name="Restrição"/>
    <tableColumn id="3" xr3:uid="{EED38AA7-8A13-4682-B8AE-D7EBBD8CF4EF}" name="Custo" dataDxfId="27"/>
    <tableColumn id="4" xr3:uid="{7393F1C2-3C6E-4056-8E3A-67B1F852E3A7}" name="Intervalo"/>
    <tableColumn id="5" xr3:uid="{941B7A4C-E9A9-4C3B-BF5B-445BEAB0CECC}" name="Confiabilidade"/>
    <tableColumn id="6" xr3:uid="{988B4CE7-8EF1-4FC1-A7E5-5C631F66BC71}" name="Disponibilidade"/>
    <tableColumn id="7" xr3:uid="{E005EF3C-BB11-440E-A5DB-DE444742B7E0}" name="Tempo de execuçã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2C413E4-506E-47AD-B36D-6ECB57538726}" name="Tabela11" displayName="Tabela11" ref="A36:G39" totalsRowShown="0" headerRowDxfId="26" headerRowBorderDxfId="25" tableBorderDxfId="24">
  <autoFilter ref="A36:G39" xr:uid="{A2C413E4-506E-47AD-B36D-6ECB57538726}"/>
  <tableColumns count="7">
    <tableColumn id="1" xr3:uid="{541A0F84-418B-4A14-A5DD-3BFF5AE775D1}" name="Distribuição"/>
    <tableColumn id="2" xr3:uid="{BBBE952B-FB9F-447D-9A32-FCD3E184877C}" name="Custo"/>
    <tableColumn id="3" xr3:uid="{7F07022C-B392-4FF3-ACCA-B711053FFB52}" name="Intervalo"/>
    <tableColumn id="4" xr3:uid="{B21BA49F-15FB-4D6E-8FF9-6DCCA841F967}" name="Confiabilidade"/>
    <tableColumn id="5" xr3:uid="{A22E82C1-9446-4EC3-87D9-1148E66FA805}" name="Disponibilidade"/>
    <tableColumn id="6" xr3:uid="{CF2FBFEF-1DA8-45A1-8678-182A747B7A01}" name="Tempo de execução"/>
    <tableColumn id="7" xr3:uid="{A6D46253-0E27-46EB-8CDE-3A0922BE9ED1}" name="Custo mínim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38F2C0-15D5-4271-9325-A36512BE823F}" name="Tabela4" displayName="Tabela4" ref="A41:D46" totalsRowShown="0">
  <autoFilter ref="A41:D46" xr:uid="{CA38F2C0-15D5-4271-9325-A36512BE823F}"/>
  <tableColumns count="4">
    <tableColumn id="1" xr3:uid="{97748D67-BFEA-4787-A8DB-3219F44EF6B6}" name="Parâmetro"/>
    <tableColumn id="2" xr3:uid="{A1004955-54C8-4331-9126-D970E883AF99}" name="Distribuição 8"/>
    <tableColumn id="3" xr3:uid="{CDB2F71F-F048-40F7-996F-D5C7B7084E92}" name="Distribuição 9"/>
    <tableColumn id="4" xr3:uid="{E13BC823-AAFB-4640-87E1-B612F5C33CAB}" name="Distribuição 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4AA06-5A75-4183-B8BC-9169CDA40832}">
  <dimension ref="A1:Q37"/>
  <sheetViews>
    <sheetView workbookViewId="0">
      <selection activeCell="N22" sqref="N22"/>
    </sheetView>
  </sheetViews>
  <sheetFormatPr defaultRowHeight="14.5" x14ac:dyDescent="0.35"/>
  <cols>
    <col min="1" max="1" width="13.453125" bestFit="1" customWidth="1"/>
    <col min="2" max="2" width="13.1796875" bestFit="1" customWidth="1"/>
    <col min="5" max="5" width="10.54296875" customWidth="1"/>
    <col min="6" max="6" width="14.453125" bestFit="1" customWidth="1"/>
    <col min="7" max="7" width="20.26953125" bestFit="1" customWidth="1"/>
    <col min="8" max="8" width="16.1796875" bestFit="1" customWidth="1"/>
    <col min="9" max="9" width="17.7265625" bestFit="1" customWidth="1"/>
    <col min="10" max="10" width="16.453125" bestFit="1" customWidth="1"/>
    <col min="11" max="11" width="21.36328125" bestFit="1" customWidth="1"/>
    <col min="12" max="12" width="16" customWidth="1"/>
    <col min="13" max="14" width="15.1796875" bestFit="1" customWidth="1"/>
  </cols>
  <sheetData>
    <row r="1" spans="1:17" x14ac:dyDescent="0.35">
      <c r="A1" s="22" t="s">
        <v>28</v>
      </c>
      <c r="B1" s="22" t="s">
        <v>25</v>
      </c>
      <c r="C1" s="22" t="s">
        <v>26</v>
      </c>
      <c r="D1" s="22" t="s">
        <v>27</v>
      </c>
      <c r="F1" s="20" t="s">
        <v>10</v>
      </c>
      <c r="G1" s="21" t="s">
        <v>11</v>
      </c>
      <c r="H1" s="20" t="s">
        <v>12</v>
      </c>
      <c r="I1" s="21" t="s">
        <v>13</v>
      </c>
      <c r="J1" s="20" t="s">
        <v>14</v>
      </c>
      <c r="K1" s="21" t="s">
        <v>15</v>
      </c>
    </row>
    <row r="2" spans="1:17" x14ac:dyDescent="0.35">
      <c r="A2" s="23" t="s">
        <v>29</v>
      </c>
      <c r="B2" s="24">
        <v>1000</v>
      </c>
      <c r="C2" s="25">
        <v>1000</v>
      </c>
      <c r="D2" s="24">
        <v>1000</v>
      </c>
      <c r="F2" s="4">
        <v>6.2624180000000003</v>
      </c>
      <c r="G2" s="1">
        <f>EXP(-((F2/B$7)^(B$6)))</f>
        <v>0.99149708382574564</v>
      </c>
      <c r="H2" s="5">
        <v>51.677819999999997</v>
      </c>
      <c r="I2" s="1">
        <f>EXP(-((H2/C$7)^(C$6)))</f>
        <v>0.95769005362416759</v>
      </c>
      <c r="J2" s="3">
        <v>258.15929999999997</v>
      </c>
      <c r="K2" s="1">
        <f>EXP(-((J2/D$7)^(D$6)))</f>
        <v>0.96939254087219884</v>
      </c>
    </row>
    <row r="3" spans="1:17" x14ac:dyDescent="0.35">
      <c r="A3" s="23" t="s">
        <v>30</v>
      </c>
      <c r="B3" s="24">
        <v>2500</v>
      </c>
      <c r="C3" s="25">
        <v>2500</v>
      </c>
      <c r="D3" s="24">
        <v>2500</v>
      </c>
      <c r="F3" s="4">
        <v>26.59882</v>
      </c>
      <c r="G3" s="1">
        <f>EXP(-((F3/B$7)^(B$6)))</f>
        <v>0.51974168531431353</v>
      </c>
      <c r="H3" s="6">
        <v>52.897939999999998</v>
      </c>
      <c r="I3" s="1">
        <f>EXP(-((H3/C$7)^(C$6)))</f>
        <v>0.95571378234914595</v>
      </c>
      <c r="J3" s="4">
        <v>937.60599999999999</v>
      </c>
      <c r="K3" s="1">
        <f>EXP(-((J3/D$7)^(D$6)))</f>
        <v>0.45785640032772279</v>
      </c>
    </row>
    <row r="4" spans="1:17" x14ac:dyDescent="0.35">
      <c r="A4" s="23" t="s">
        <v>31</v>
      </c>
      <c r="B4" s="24">
        <v>10000</v>
      </c>
      <c r="C4" s="25">
        <v>10000</v>
      </c>
      <c r="D4" s="24">
        <v>10000</v>
      </c>
      <c r="F4" s="4">
        <v>31.941130000000001</v>
      </c>
      <c r="G4" s="1">
        <f>EXP(-((F4/B$7)^(B$6)))</f>
        <v>0.32197962664208646</v>
      </c>
      <c r="H4" s="6">
        <v>249.8331</v>
      </c>
      <c r="I4" s="1">
        <f>EXP(-((H4/C$7)^(C$6)))</f>
        <v>0.36395104545547319</v>
      </c>
      <c r="J4" s="4">
        <v>992.18700000000001</v>
      </c>
      <c r="K4" s="1">
        <f>EXP(-((J4/D$7)^(D$6)))</f>
        <v>0.40661451914906738</v>
      </c>
    </row>
    <row r="5" spans="1:17" x14ac:dyDescent="0.35">
      <c r="A5" s="23" t="s">
        <v>32</v>
      </c>
      <c r="B5" s="24">
        <f>10*365*24</f>
        <v>87600</v>
      </c>
      <c r="C5" s="25">
        <f t="shared" ref="C5:D5" si="0">10*365*24</f>
        <v>87600</v>
      </c>
      <c r="D5" s="24">
        <f t="shared" si="0"/>
        <v>87600</v>
      </c>
      <c r="F5" s="4">
        <v>33.19068</v>
      </c>
      <c r="G5" s="1">
        <f>EXP(-((F5/B$7)^(B$6)))</f>
        <v>0.2803979286615626</v>
      </c>
      <c r="H5" s="6">
        <v>290.06220000000002</v>
      </c>
      <c r="I5" s="1">
        <f>EXP(-((H5/C$7)^(C$6)))</f>
        <v>0.25602176423928241</v>
      </c>
      <c r="J5" s="4">
        <v>1281.614</v>
      </c>
      <c r="K5" s="1">
        <f>EXP(-((J5/D$7)^(D$6)))</f>
        <v>0.18152377566862171</v>
      </c>
    </row>
    <row r="6" spans="1:17" x14ac:dyDescent="0.35">
      <c r="A6" s="23" t="s">
        <v>8</v>
      </c>
      <c r="B6" s="24">
        <v>3.0001225471496582</v>
      </c>
      <c r="C6" s="25">
        <v>2.0002191066741939</v>
      </c>
      <c r="D6" s="24">
        <v>2.499768972396851</v>
      </c>
      <c r="F6" s="4">
        <v>41.040559999999999</v>
      </c>
      <c r="G6" s="1">
        <f>EXP(-((F6/B$7)^(B$6)))</f>
        <v>9.0355742275304768E-2</v>
      </c>
      <c r="H6" s="6">
        <v>311.95940000000002</v>
      </c>
      <c r="I6" s="1">
        <f>EXP(-((H6/C$7)^(C$6)))</f>
        <v>0.20680153822760963</v>
      </c>
      <c r="J6" s="4">
        <v>1358.0039999999999</v>
      </c>
      <c r="K6" s="1">
        <f>EXP(-((J6/D$7)^(D$6)))</f>
        <v>0.13916579910447086</v>
      </c>
    </row>
    <row r="7" spans="1:17" x14ac:dyDescent="0.35">
      <c r="A7" s="23" t="s">
        <v>33</v>
      </c>
      <c r="B7" s="24">
        <f>10^B8</f>
        <v>30.636578936706282</v>
      </c>
      <c r="C7" s="25">
        <f t="shared" ref="C7:D7" si="1">10^C8</f>
        <v>248.50285507456337</v>
      </c>
      <c r="D7" s="24">
        <f t="shared" si="1"/>
        <v>1034.9503587651529</v>
      </c>
    </row>
    <row r="8" spans="1:17" x14ac:dyDescent="0.35">
      <c r="A8" s="23" t="s">
        <v>3</v>
      </c>
      <c r="B8" s="24">
        <v>1.4862402677536011</v>
      </c>
      <c r="C8" s="25">
        <v>2.3953313827514648</v>
      </c>
      <c r="D8" s="24">
        <v>3.014919519424438</v>
      </c>
      <c r="F8" s="20" t="s">
        <v>16</v>
      </c>
      <c r="G8" s="20" t="s">
        <v>11</v>
      </c>
      <c r="H8" s="21" t="s">
        <v>17</v>
      </c>
      <c r="I8" s="20" t="s">
        <v>18</v>
      </c>
      <c r="J8" s="20" t="s">
        <v>13</v>
      </c>
      <c r="K8" s="21" t="s">
        <v>19</v>
      </c>
      <c r="L8" s="20" t="s">
        <v>20</v>
      </c>
      <c r="M8" s="20" t="s">
        <v>15</v>
      </c>
      <c r="N8" s="21" t="s">
        <v>21</v>
      </c>
    </row>
    <row r="9" spans="1:17" x14ac:dyDescent="0.35">
      <c r="A9" s="23" t="s">
        <v>6</v>
      </c>
      <c r="B9" s="24">
        <v>0.5</v>
      </c>
      <c r="C9" s="25">
        <v>6</v>
      </c>
      <c r="D9" s="24">
        <v>4</v>
      </c>
      <c r="F9" s="7">
        <v>4.2779571692307696</v>
      </c>
      <c r="G9">
        <f>EXP(-((F9/B$7)^(B$6)))</f>
        <v>0.99728172882335686</v>
      </c>
      <c r="H9" s="11">
        <f>($B$5/F9)*($B$2*G9)+($B$5/MEDIAN(F$2:F$6)*($B$3+$B$4)*(1-G9))</f>
        <v>20514588.424851287</v>
      </c>
      <c r="I9" s="7">
        <v>29.428629538461539</v>
      </c>
      <c r="J9">
        <f>EXP(-((I9/C$7)^(C$6)))</f>
        <v>0.98608016899776729</v>
      </c>
      <c r="K9" s="11">
        <f>($B$5/I9)*($B$2*J9)+($B$5/MEDIAN(H$2:H$6)*($B$3+$B$4)*(1-J9))</f>
        <v>2996267.675504338</v>
      </c>
      <c r="L9" s="7">
        <v>148.54062461538462</v>
      </c>
      <c r="M9" s="9">
        <f>EXP(-((L9/D$7)^(D$6)))</f>
        <v>0.9922229511544165</v>
      </c>
      <c r="N9" s="11">
        <f>($B$5/L9)*($B$2*M9)+($B$5/MEDIAN(J$2:J$6))*(($B$3+$B$4)*(1-M9))</f>
        <v>593734.16579679609</v>
      </c>
    </row>
    <row r="10" spans="1:17" x14ac:dyDescent="0.35">
      <c r="A10" s="23" t="s">
        <v>7</v>
      </c>
      <c r="B10" s="24">
        <v>2</v>
      </c>
      <c r="C10" s="25">
        <v>12</v>
      </c>
      <c r="D10" s="24">
        <v>20</v>
      </c>
      <c r="F10" s="7">
        <v>8.5559143384615393</v>
      </c>
      <c r="G10">
        <f t="shared" ref="G10:G22" si="2">EXP(-((F10/B$7)^(B$6)))</f>
        <v>0.97845779163641022</v>
      </c>
      <c r="H10" s="11">
        <f t="shared" ref="H10:H22" si="3">($B$5/F10)*($B$2*G10)+($B$5/MEDIAN(F$2:F$6)*($B$3+$B$4)*(1-G10))</f>
        <v>10756477.159373853</v>
      </c>
      <c r="I10" s="7">
        <v>58.857259076923079</v>
      </c>
      <c r="J10">
        <f>EXP(-((I10/C$7)^(C$6)))</f>
        <v>0.94546444334067214</v>
      </c>
      <c r="K10" s="11">
        <f t="shared" ref="K10:K22" si="4">($B$5/I10)*($B$2*J10)+($B$5/MEDIAN(H$2:H$6)*($B$3+$B$4)*(1-J10))</f>
        <v>1646204.0781222254</v>
      </c>
      <c r="L10" s="7">
        <v>297.08124923076923</v>
      </c>
      <c r="M10" s="9">
        <f t="shared" ref="M10:M22" si="5">EXP(-((L10/D$7)^(D$6)))</f>
        <v>0.95680227092028669</v>
      </c>
      <c r="N10" s="11">
        <f t="shared" ref="N10:N22" si="6">($B$5/L10)*($B$2*M10)+($B$5/MEDIAN(J$2:J$6))*(($B$3+$B$4)*(1-M10))</f>
        <v>329805.15518580982</v>
      </c>
      <c r="O10" s="1"/>
      <c r="P10" s="1"/>
      <c r="Q10" s="1"/>
    </row>
    <row r="11" spans="1:17" x14ac:dyDescent="0.35">
      <c r="A11" s="23" t="s">
        <v>9</v>
      </c>
      <c r="B11" s="24">
        <f>AVERAGE(Tabela1[Tempo 8])</f>
        <v>27.806721600000003</v>
      </c>
      <c r="C11" s="26">
        <f>AVERAGE(Tabela1[Tempo 9])</f>
        <v>191.286092</v>
      </c>
      <c r="D11" s="24">
        <f>AVERAGE(Tabela1[Tempo 10])</f>
        <v>965.51405999999986</v>
      </c>
      <c r="F11" s="7">
        <v>12.83387150769231</v>
      </c>
      <c r="G11">
        <f t="shared" si="2"/>
        <v>0.92913321940981297</v>
      </c>
      <c r="H11" s="11">
        <f t="shared" si="3"/>
        <v>8771415.3300136812</v>
      </c>
      <c r="I11" s="7">
        <v>88.285888615384621</v>
      </c>
      <c r="J11">
        <f>EXP(-((I11/C$7)^(C$6)))</f>
        <v>0.88144827684178451</v>
      </c>
      <c r="K11" s="11">
        <f t="shared" si="4"/>
        <v>1394203.7843265107</v>
      </c>
      <c r="L11" s="7">
        <v>445.62187384615379</v>
      </c>
      <c r="M11" s="9">
        <f t="shared" si="5"/>
        <v>0.88543592894894307</v>
      </c>
      <c r="N11" s="11">
        <f t="shared" si="6"/>
        <v>300493.80187593552</v>
      </c>
      <c r="O11" s="1"/>
      <c r="P11" s="1"/>
      <c r="Q11" s="1"/>
    </row>
    <row r="12" spans="1:17" x14ac:dyDescent="0.35">
      <c r="F12" s="7">
        <v>17.111828676923079</v>
      </c>
      <c r="G12">
        <f t="shared" si="2"/>
        <v>0.8400987534727471</v>
      </c>
      <c r="H12" s="11">
        <f t="shared" si="3"/>
        <v>9782394.2551153488</v>
      </c>
      <c r="I12" s="7">
        <v>117.71451815384616</v>
      </c>
      <c r="J12">
        <f>EXP(-((I12/C$7)^(C$6)))</f>
        <v>0.79903537402795732</v>
      </c>
      <c r="K12" s="11">
        <f t="shared" si="4"/>
        <v>1475433.8739618803</v>
      </c>
      <c r="L12" s="7">
        <v>594.16249846153846</v>
      </c>
      <c r="M12" s="9">
        <f t="shared" si="5"/>
        <v>0.7789890215707429</v>
      </c>
      <c r="N12" s="11">
        <f t="shared" si="6"/>
        <v>358762.50158840569</v>
      </c>
      <c r="O12" s="12"/>
      <c r="P12" s="12"/>
      <c r="Q12" s="1"/>
    </row>
    <row r="13" spans="1:17" x14ac:dyDescent="0.35">
      <c r="F13" s="7">
        <v>21.389785846153849</v>
      </c>
      <c r="G13">
        <f t="shared" si="2"/>
        <v>0.71154710232707385</v>
      </c>
      <c r="H13" s="11">
        <f t="shared" si="3"/>
        <v>12802768.710466873</v>
      </c>
      <c r="I13" s="7">
        <v>147.14314769230771</v>
      </c>
      <c r="J13">
        <f>EXP(-((I13/C$7)^(C$6)))</f>
        <v>0.70429068004034268</v>
      </c>
      <c r="K13" s="11">
        <f t="shared" si="4"/>
        <v>1715363.5279068667</v>
      </c>
      <c r="L13" s="7">
        <v>742.70312307692302</v>
      </c>
      <c r="M13" s="9">
        <f t="shared" si="5"/>
        <v>0.64643194839821738</v>
      </c>
      <c r="N13" s="11">
        <f t="shared" si="6"/>
        <v>466450.74618054874</v>
      </c>
      <c r="O13" s="12"/>
      <c r="P13" s="12"/>
      <c r="Q13" s="1"/>
    </row>
    <row r="14" spans="1:17" x14ac:dyDescent="0.35">
      <c r="F14" s="7">
        <v>25.66774301538462</v>
      </c>
      <c r="G14">
        <f t="shared" si="2"/>
        <v>0.55539531056617375</v>
      </c>
      <c r="H14" s="11">
        <f t="shared" si="3"/>
        <v>17137334.464237105</v>
      </c>
      <c r="I14" s="7">
        <v>176.57177723076924</v>
      </c>
      <c r="J14">
        <f>EXP(-((I14/C$7)^(C$6)))</f>
        <v>0.60360667991927053</v>
      </c>
      <c r="K14" s="11">
        <f t="shared" si="4"/>
        <v>2036821.2502637329</v>
      </c>
      <c r="L14" s="7">
        <v>891.24374769230758</v>
      </c>
      <c r="M14" s="9">
        <f t="shared" si="5"/>
        <v>0.50248547381214048</v>
      </c>
      <c r="N14" s="11">
        <f t="shared" si="6"/>
        <v>598457.37766083318</v>
      </c>
      <c r="O14" s="12"/>
      <c r="P14" s="12"/>
      <c r="Q14" s="1"/>
    </row>
    <row r="15" spans="1:17" x14ac:dyDescent="0.35">
      <c r="B15">
        <v>1</v>
      </c>
      <c r="C15">
        <f>B$11*(2*($B15/$B$27))</f>
        <v>4.2779571692307696</v>
      </c>
      <c r="D15">
        <f t="shared" ref="D15:E15" si="7">C$11*(2*($B15/$B$27))</f>
        <v>29.428629538461539</v>
      </c>
      <c r="E15">
        <f t="shared" si="7"/>
        <v>148.54062461538462</v>
      </c>
      <c r="F15" s="8">
        <v>29.945700184615387</v>
      </c>
      <c r="G15">
        <f t="shared" si="2"/>
        <v>0.39303398510199439</v>
      </c>
      <c r="H15" s="11">
        <f t="shared" si="3"/>
        <v>21957638.612083849</v>
      </c>
      <c r="I15" s="8">
        <v>206.00040676923075</v>
      </c>
      <c r="J15">
        <f>EXP(-((I15/C$7)^(C$6)))</f>
        <v>0.50300442400685186</v>
      </c>
      <c r="K15" s="11">
        <f t="shared" si="4"/>
        <v>2392193.3987830915</v>
      </c>
      <c r="L15" s="8">
        <v>1039.7843723076921</v>
      </c>
      <c r="M15" s="9">
        <f t="shared" si="5"/>
        <v>0.36359423611927311</v>
      </c>
      <c r="N15" s="11">
        <f t="shared" si="6"/>
        <v>732983.95925005362</v>
      </c>
      <c r="O15" s="12"/>
      <c r="P15" s="12"/>
      <c r="Q15" s="1"/>
    </row>
    <row r="16" spans="1:17" x14ac:dyDescent="0.35">
      <c r="B16">
        <v>2</v>
      </c>
      <c r="C16">
        <f t="shared" ref="C16:E16" si="8">B$11*(2*($B16/$B$27))</f>
        <v>8.5559143384615393</v>
      </c>
      <c r="D16">
        <f t="shared" si="8"/>
        <v>58.857259076923079</v>
      </c>
      <c r="E16">
        <f t="shared" si="8"/>
        <v>297.08124923076923</v>
      </c>
      <c r="F16" s="7">
        <v>34.223657353846157</v>
      </c>
      <c r="G16">
        <f t="shared" si="2"/>
        <v>0.24807974070171143</v>
      </c>
      <c r="H16" s="11">
        <f t="shared" si="3"/>
        <v>26412186.424304198</v>
      </c>
      <c r="I16" s="7">
        <v>235.42903630769231</v>
      </c>
      <c r="J16" s="2">
        <f t="shared" ref="J16:J21" si="9">EXP(-((I16/C$7)^(C$6)))</f>
        <v>0.40757245979834406</v>
      </c>
      <c r="K16" s="11">
        <f t="shared" si="4"/>
        <v>2748218.3623261135</v>
      </c>
      <c r="L16" s="7">
        <v>1188.3249969230769</v>
      </c>
      <c r="M16" s="9">
        <f t="shared" si="5"/>
        <v>0.24350441159474134</v>
      </c>
      <c r="N16" s="11">
        <f t="shared" si="6"/>
        <v>852836.09589643008</v>
      </c>
      <c r="O16" s="1"/>
      <c r="P16" s="1"/>
      <c r="Q16" s="1"/>
    </row>
    <row r="17" spans="2:17" x14ac:dyDescent="0.35">
      <c r="B17">
        <v>3</v>
      </c>
      <c r="C17">
        <f t="shared" ref="C17:E17" si="10">B$11*(2*($B17/$B$27))</f>
        <v>12.83387150769231</v>
      </c>
      <c r="D17">
        <f t="shared" si="10"/>
        <v>88.285888615384621</v>
      </c>
      <c r="E17">
        <f t="shared" si="10"/>
        <v>445.62187384615379</v>
      </c>
      <c r="F17" s="7">
        <v>38.501614523076924</v>
      </c>
      <c r="G17">
        <f t="shared" si="2"/>
        <v>0.13740091431060436</v>
      </c>
      <c r="H17" s="11">
        <f t="shared" si="3"/>
        <v>29884083.298306573</v>
      </c>
      <c r="I17" s="7">
        <v>264.85766584615385</v>
      </c>
      <c r="J17">
        <f t="shared" si="9"/>
        <v>0.32110920615592714</v>
      </c>
      <c r="K17" s="11">
        <f t="shared" si="4"/>
        <v>3081732.9812665568</v>
      </c>
      <c r="L17" s="7">
        <v>1336.8656215384613</v>
      </c>
      <c r="M17" s="9">
        <f t="shared" si="5"/>
        <v>0.15013100497902332</v>
      </c>
      <c r="N17" s="11">
        <f t="shared" si="6"/>
        <v>947772.17807765282</v>
      </c>
      <c r="O17" s="1"/>
      <c r="P17" s="1"/>
      <c r="Q17" s="1"/>
    </row>
    <row r="18" spans="2:17" x14ac:dyDescent="0.35">
      <c r="B18">
        <v>4</v>
      </c>
      <c r="C18">
        <f t="shared" ref="C18:E18" si="11">B$11*(2*($B18/$B$27))</f>
        <v>17.111828676923079</v>
      </c>
      <c r="D18">
        <f t="shared" si="11"/>
        <v>117.71451815384616</v>
      </c>
      <c r="E18">
        <f t="shared" si="11"/>
        <v>594.16249846153846</v>
      </c>
      <c r="F18" s="7">
        <v>42.779571692307698</v>
      </c>
      <c r="G18">
        <f t="shared" si="2"/>
        <v>6.5694467464322392E-2</v>
      </c>
      <c r="H18" s="11">
        <f t="shared" si="3"/>
        <v>32164215.042835187</v>
      </c>
      <c r="I18" s="7">
        <v>294.28629538461541</v>
      </c>
      <c r="J18">
        <f t="shared" si="9"/>
        <v>0.24598876315081694</v>
      </c>
      <c r="K18" s="11">
        <f t="shared" si="4"/>
        <v>3377998.7921709288</v>
      </c>
      <c r="L18" s="7">
        <v>1485.406246153846</v>
      </c>
      <c r="M18" s="9">
        <f t="shared" si="5"/>
        <v>8.4786516592999225E-2</v>
      </c>
      <c r="N18" s="11">
        <f t="shared" si="6"/>
        <v>1015050.4673928233</v>
      </c>
      <c r="O18" s="1"/>
      <c r="P18" s="1"/>
      <c r="Q18" s="1"/>
    </row>
    <row r="19" spans="2:17" x14ac:dyDescent="0.35">
      <c r="B19">
        <v>5</v>
      </c>
      <c r="C19">
        <f t="shared" ref="C19:E19" si="12">B$11*(2*($B19/$B$27))</f>
        <v>21.389785846153849</v>
      </c>
      <c r="D19">
        <f t="shared" si="12"/>
        <v>147.14314769230771</v>
      </c>
      <c r="E19">
        <f t="shared" si="12"/>
        <v>742.70312307692302</v>
      </c>
      <c r="F19" s="7">
        <v>47.057528861538465</v>
      </c>
      <c r="G19">
        <f t="shared" si="2"/>
        <v>2.6675492429130518E-2</v>
      </c>
      <c r="H19" s="11">
        <f t="shared" si="3"/>
        <v>33416991.25504167</v>
      </c>
      <c r="I19" s="7">
        <v>323.71492492307692</v>
      </c>
      <c r="J19">
        <f t="shared" si="9"/>
        <v>0.18322810264893136</v>
      </c>
      <c r="K19" s="11">
        <f t="shared" si="4"/>
        <v>3629433.8950120625</v>
      </c>
      <c r="L19" s="7">
        <v>1633.9468707692306</v>
      </c>
      <c r="M19" s="9">
        <f t="shared" si="5"/>
        <v>4.3652963516474998E-2</v>
      </c>
      <c r="N19" s="11">
        <f t="shared" si="6"/>
        <v>1057786.551289618</v>
      </c>
      <c r="O19" s="1"/>
      <c r="P19" s="1"/>
      <c r="Q19" s="1"/>
    </row>
    <row r="20" spans="2:17" x14ac:dyDescent="0.35">
      <c r="B20">
        <v>6</v>
      </c>
      <c r="C20">
        <f t="shared" ref="C20:E20" si="13">B$11*(2*($B20/$B$27))</f>
        <v>25.66774301538462</v>
      </c>
      <c r="D20">
        <f t="shared" si="13"/>
        <v>176.57177723076924</v>
      </c>
      <c r="E20">
        <f t="shared" si="13"/>
        <v>891.24374769230758</v>
      </c>
      <c r="F20" s="7">
        <v>51.335486030769239</v>
      </c>
      <c r="G20">
        <f t="shared" si="2"/>
        <v>9.0499067895011345E-3</v>
      </c>
      <c r="H20" s="11">
        <f>($B$5/F20)*($B$2*G20)+($B$5/MEDIAN(F$2:F$6)*($B$3+$B$4)*(1-G20))</f>
        <v>33987013.535350293</v>
      </c>
      <c r="I20" s="7">
        <v>353.14355446153849</v>
      </c>
      <c r="J20">
        <f t="shared" si="9"/>
        <v>0.13270367463346744</v>
      </c>
      <c r="K20" s="11">
        <f t="shared" si="4"/>
        <v>3834213.8267011582</v>
      </c>
      <c r="L20" s="7">
        <v>1782.4874953846152</v>
      </c>
      <c r="M20" s="9">
        <f t="shared" si="5"/>
        <v>2.0397173308347172E-2</v>
      </c>
      <c r="N20" s="11">
        <f t="shared" si="6"/>
        <v>1082114.2369922921</v>
      </c>
      <c r="O20" s="1"/>
      <c r="P20" s="1"/>
      <c r="Q20" s="1"/>
    </row>
    <row r="21" spans="2:17" x14ac:dyDescent="0.35">
      <c r="B21">
        <v>7</v>
      </c>
      <c r="C21">
        <f t="shared" ref="C21:E21" si="14">B$11*(2*($B21/$B$27))</f>
        <v>29.945700184615387</v>
      </c>
      <c r="D21">
        <f t="shared" si="14"/>
        <v>206.00040676923075</v>
      </c>
      <c r="E21">
        <f t="shared" si="14"/>
        <v>1039.7843723076921</v>
      </c>
      <c r="F21" s="7">
        <v>55.613443200000006</v>
      </c>
      <c r="G21">
        <f t="shared" si="2"/>
        <v>2.5236390401234309E-3</v>
      </c>
      <c r="H21" s="11">
        <f t="shared" ref="H21:H22" si="15">($B$5/F21)*($B$2*G21)+($B$5/MEDIAN(F$2:F$6)*($B$3+$B$4)*(1-G21))</f>
        <v>34199278.029935673</v>
      </c>
      <c r="I21" s="7">
        <v>382.57218399999999</v>
      </c>
      <c r="J21">
        <f t="shared" si="9"/>
        <v>9.345179109747459E-2</v>
      </c>
      <c r="K21" s="11">
        <f t="shared" si="4"/>
        <v>3994732.006955443</v>
      </c>
      <c r="L21" s="7">
        <v>1931.0281199999997</v>
      </c>
      <c r="M21" s="9">
        <f t="shared" si="5"/>
        <v>8.6123534509679762E-3</v>
      </c>
      <c r="N21" s="11">
        <f t="shared" si="6"/>
        <v>1094508.5100133664</v>
      </c>
      <c r="O21" s="1"/>
      <c r="P21" s="1">
        <f>(N22/Tabela2[[#This Row],[Custos 10]]-1)*100</f>
        <v>0.83271105739410878</v>
      </c>
      <c r="Q21" s="1"/>
    </row>
    <row r="22" spans="2:17" x14ac:dyDescent="0.35">
      <c r="B22">
        <v>8</v>
      </c>
      <c r="C22">
        <f t="shared" ref="C22:E22" si="16">B$11*(2*($B22/$B$27))</f>
        <v>34.223657353846157</v>
      </c>
      <c r="D22">
        <f t="shared" si="16"/>
        <v>235.42903630769231</v>
      </c>
      <c r="E22">
        <f t="shared" si="16"/>
        <v>1188.3249969230769</v>
      </c>
      <c r="F22" s="43">
        <v>270</v>
      </c>
      <c r="G22">
        <f t="shared" si="2"/>
        <v>4.4480038711946786E-298</v>
      </c>
      <c r="H22" s="11">
        <f t="shared" si="15"/>
        <v>34281817.831742331</v>
      </c>
      <c r="I22" s="43">
        <v>1910</v>
      </c>
      <c r="J22">
        <f>EXP(-((I22/C$7)^(C$6)))</f>
        <v>2.1506638167138473E-26</v>
      </c>
      <c r="K22" s="11">
        <f t="shared" si="4"/>
        <v>4382926.0414252551</v>
      </c>
      <c r="L22" s="43">
        <v>9650</v>
      </c>
      <c r="M22" s="9">
        <f t="shared" si="5"/>
        <v>5.8374725879470338E-116</v>
      </c>
      <c r="N22" s="11">
        <f t="shared" si="6"/>
        <v>1103622.6034003671</v>
      </c>
      <c r="O22" s="1"/>
      <c r="P22" s="1"/>
      <c r="Q22" s="1"/>
    </row>
    <row r="23" spans="2:17" x14ac:dyDescent="0.35">
      <c r="B23">
        <v>9</v>
      </c>
      <c r="C23">
        <f t="shared" ref="C23:E23" si="17">B$11*(2*($B23/$B$27))</f>
        <v>38.501614523076924</v>
      </c>
      <c r="D23">
        <f t="shared" si="17"/>
        <v>264.85766584615385</v>
      </c>
      <c r="E23">
        <f t="shared" si="17"/>
        <v>1336.8656215384613</v>
      </c>
      <c r="F23" s="20" t="s">
        <v>16</v>
      </c>
      <c r="G23" s="20" t="s">
        <v>22</v>
      </c>
      <c r="H23" s="20" t="s">
        <v>18</v>
      </c>
      <c r="I23" s="20" t="s">
        <v>23</v>
      </c>
      <c r="J23" s="20" t="s">
        <v>20</v>
      </c>
      <c r="K23" s="20" t="s">
        <v>24</v>
      </c>
      <c r="L23" s="1"/>
      <c r="M23" s="1"/>
      <c r="O23" s="1"/>
      <c r="P23" s="1"/>
      <c r="Q23" s="1"/>
    </row>
    <row r="24" spans="2:17" x14ac:dyDescent="0.35">
      <c r="B24">
        <v>10</v>
      </c>
      <c r="C24">
        <f t="shared" ref="C24:E24" si="18">B$11*(2*($B24/$B$27))</f>
        <v>42.779571692307698</v>
      </c>
      <c r="D24">
        <f t="shared" si="18"/>
        <v>294.28629538461541</v>
      </c>
      <c r="E24">
        <f t="shared" si="18"/>
        <v>1485.406246153846</v>
      </c>
      <c r="F24" s="7">
        <f>0.1*MEDIAN(F$2:F$6)</f>
        <v>3.1941130000000002</v>
      </c>
      <c r="G24" s="10">
        <f>F9/(((G9*B$9)+(1-G9)*B$10)+F9)</f>
        <v>0.89458934293464332</v>
      </c>
      <c r="H24" s="7">
        <f>0.1*MEDIAN(G$2:G$6)</f>
        <v>3.219796266420865E-2</v>
      </c>
      <c r="I24" s="10">
        <f>I9/(((J9*C$9)+(1-J9)*C$10)+I9)</f>
        <v>0.8286918916826268</v>
      </c>
      <c r="J24" s="7">
        <f>0.1*MEDIAN(H$2:H$6)</f>
        <v>24.983310000000003</v>
      </c>
      <c r="K24" s="10">
        <f>L9/(((M9*D$9)+(1-M9)*D$10)+L9)</f>
        <v>0.97298377996998875</v>
      </c>
      <c r="L24" s="1"/>
      <c r="M24" s="1"/>
      <c r="N24" s="1"/>
      <c r="O24" s="1"/>
      <c r="P24" s="1"/>
      <c r="Q24" s="1"/>
    </row>
    <row r="25" spans="2:17" x14ac:dyDescent="0.35">
      <c r="B25">
        <v>11</v>
      </c>
      <c r="C25">
        <f t="shared" ref="C25:E25" si="19">B$11*(2*($B25/$B$27))</f>
        <v>47.057528861538465</v>
      </c>
      <c r="D25">
        <f t="shared" si="19"/>
        <v>323.71492492307692</v>
      </c>
      <c r="E25">
        <f>D$11*(2*($B25/$B$27))</f>
        <v>1633.9468707692306</v>
      </c>
      <c r="F25" s="7">
        <f>0.25*MEDIAN(F$2:F$6)</f>
        <v>7.9852825000000003</v>
      </c>
      <c r="G25" s="10">
        <f t="shared" ref="G25:G37" si="20">F10/(((G10*B$9)+(1-G10)*B$10)+F10)</f>
        <v>0.94142825939374353</v>
      </c>
      <c r="H25" s="7">
        <f>0.25*MEDIAN(G$2:G$6)</f>
        <v>8.0494906660521615E-2</v>
      </c>
      <c r="I25" s="10">
        <f t="shared" ref="I25:I37" si="21">I10/(((J10*C$9)+(1-J10)*C$10)+I10)</f>
        <v>0.90293373398052412</v>
      </c>
      <c r="J25" s="7">
        <f>0.25*MEDIAN(H$2:H$6)</f>
        <v>62.458275</v>
      </c>
      <c r="K25" s="10">
        <f t="shared" ref="K25:K37" si="22">L10/(((M10*D$9)+(1-M10)*D$10)+L10)</f>
        <v>0.9844546304937043</v>
      </c>
    </row>
    <row r="26" spans="2:17" x14ac:dyDescent="0.35">
      <c r="B26">
        <v>12</v>
      </c>
      <c r="C26">
        <f t="shared" ref="C26:E26" si="23">B$11*(2*($B26/$B$27))</f>
        <v>51.335486030769239</v>
      </c>
      <c r="D26">
        <f t="shared" si="23"/>
        <v>353.14355446153849</v>
      </c>
      <c r="E26">
        <f t="shared" si="23"/>
        <v>1782.4874953846152</v>
      </c>
      <c r="F26" s="7">
        <f>0.35*MEDIAN(F$2:F$6)</f>
        <v>11.1793955</v>
      </c>
      <c r="G26" s="10">
        <f t="shared" si="20"/>
        <v>0.95488895637756865</v>
      </c>
      <c r="H26" s="7">
        <f>0.35*MEDIAN(G$2:G$6)</f>
        <v>0.11269286932473026</v>
      </c>
      <c r="I26" s="10">
        <f t="shared" si="21"/>
        <v>0.92935254499266362</v>
      </c>
      <c r="J26" s="7">
        <f>0.35*MEDIAN(H$2:H$6)</f>
        <v>87.441584999999989</v>
      </c>
      <c r="K26" s="10">
        <f t="shared" si="22"/>
        <v>0.98707949531623773</v>
      </c>
    </row>
    <row r="27" spans="2:17" x14ac:dyDescent="0.35">
      <c r="B27">
        <v>13</v>
      </c>
      <c r="C27">
        <f t="shared" ref="C27:E27" si="24">B$11*(2*($B27/$B$27))</f>
        <v>55.613443200000006</v>
      </c>
      <c r="D27">
        <f t="shared" si="24"/>
        <v>382.57218399999999</v>
      </c>
      <c r="E27">
        <f t="shared" si="24"/>
        <v>1931.0281199999997</v>
      </c>
      <c r="F27" s="7">
        <f>0.5*MEDIAN(F$2:F$6)</f>
        <v>15.970565000000001</v>
      </c>
      <c r="G27" s="10">
        <f t="shared" si="20"/>
        <v>0.95855561789519772</v>
      </c>
      <c r="H27" s="7">
        <f>0.5*MEDIAN(G$2:G$6)</f>
        <v>0.16098981332104323</v>
      </c>
      <c r="I27" s="10">
        <f t="shared" si="21"/>
        <v>0.9423169219498847</v>
      </c>
      <c r="J27" s="7">
        <f>0.5*MEDIAN(H$2:H$6)</f>
        <v>124.91655</v>
      </c>
      <c r="K27" s="10">
        <f t="shared" si="22"/>
        <v>0.98747516659242274</v>
      </c>
    </row>
    <row r="28" spans="2:17" x14ac:dyDescent="0.35">
      <c r="F28" s="7">
        <f>0.6*MEDIAN(F$2:F$6)</f>
        <v>19.164677999999999</v>
      </c>
      <c r="G28" s="10">
        <f t="shared" si="20"/>
        <v>0.95821790566321796</v>
      </c>
      <c r="H28" s="7">
        <f>0.6*MEDIAN(G$2:G$6)</f>
        <v>0.19318777598525186</v>
      </c>
      <c r="I28" s="10">
        <f t="shared" si="21"/>
        <v>0.94981676855864605</v>
      </c>
      <c r="J28" s="7">
        <f>0.6*MEDIAN(H$2:H$6)</f>
        <v>149.89985999999999</v>
      </c>
      <c r="K28" s="10">
        <f t="shared" si="22"/>
        <v>0.98716427494057946</v>
      </c>
    </row>
    <row r="29" spans="2:17" x14ac:dyDescent="0.35">
      <c r="F29" s="7">
        <f>0.75*MEDIAN(F$2:F$6)</f>
        <v>23.955847500000001</v>
      </c>
      <c r="G29" s="10">
        <f t="shared" si="20"/>
        <v>0.95651491515646037</v>
      </c>
      <c r="H29" s="7">
        <f>0.75*MEDIAN(G$2:G$6)</f>
        <v>0.24148471998156484</v>
      </c>
      <c r="I29" s="10">
        <f t="shared" si="21"/>
        <v>0.95469935816466855</v>
      </c>
      <c r="J29" s="7">
        <f>0.75*MEDIAN(H$2:H$6)</f>
        <v>187.37482499999999</v>
      </c>
      <c r="K29" s="10">
        <f t="shared" si="22"/>
        <v>0.98675799411608911</v>
      </c>
    </row>
    <row r="30" spans="2:17" x14ac:dyDescent="0.35">
      <c r="F30" s="8">
        <f>MEDIAN(F$2:F$6)</f>
        <v>31.941130000000001</v>
      </c>
      <c r="G30" s="10">
        <f t="shared" si="20"/>
        <v>0.95501842356223288</v>
      </c>
      <c r="H30" s="8">
        <f>MEDIAN(G$2:G$6)</f>
        <v>0.32197962664208646</v>
      </c>
      <c r="I30" s="10">
        <f t="shared" si="21"/>
        <v>0.95821995529796222</v>
      </c>
      <c r="J30" s="8">
        <f>MEDIAN(H$2:H$6)</f>
        <v>249.8331</v>
      </c>
      <c r="K30" s="10">
        <f t="shared" si="22"/>
        <v>0.98654370198970243</v>
      </c>
    </row>
    <row r="31" spans="2:17" x14ac:dyDescent="0.35">
      <c r="F31" s="7">
        <f>1.25*MEDIAN(F$2:F$6)</f>
        <v>39.926412499999998</v>
      </c>
      <c r="G31" s="10">
        <f t="shared" si="20"/>
        <v>0.95459384753239362</v>
      </c>
      <c r="H31" s="7">
        <f>1.25*MEDIAN(G$2:G$6)</f>
        <v>0.40247453330260807</v>
      </c>
      <c r="I31" s="10">
        <f t="shared" si="21"/>
        <v>0.96099916410404029</v>
      </c>
      <c r="J31" s="7">
        <f>1.25*MEDIAN(H$2:H$6)</f>
        <v>312.29137500000002</v>
      </c>
      <c r="K31" s="10">
        <f t="shared" si="22"/>
        <v>0.98662940663219278</v>
      </c>
    </row>
    <row r="32" spans="2:17" x14ac:dyDescent="0.35">
      <c r="F32" s="7">
        <f>1.35*MEDIAN(F$2:F$6)</f>
        <v>43.120525500000007</v>
      </c>
      <c r="G32" s="10">
        <f t="shared" si="20"/>
        <v>0.95548142986082374</v>
      </c>
      <c r="H32" s="7">
        <f>1.35*MEDIAN(G$2:G$6)</f>
        <v>0.43467249596681673</v>
      </c>
      <c r="I32" s="10">
        <f t="shared" si="21"/>
        <v>0.96336046362779171</v>
      </c>
      <c r="J32" s="7">
        <f>1.35*MEDIAN(H$2:H$6)</f>
        <v>337.27468500000003</v>
      </c>
      <c r="K32" s="10">
        <f t="shared" si="22"/>
        <v>0.98700747300347214</v>
      </c>
    </row>
    <row r="33" spans="6:11" x14ac:dyDescent="0.35">
      <c r="F33" s="7">
        <f>1.5*MEDIAN(F$2:F$6)</f>
        <v>47.911695000000002</v>
      </c>
      <c r="G33" s="10">
        <f t="shared" si="20"/>
        <v>0.95744372277940337</v>
      </c>
      <c r="H33" s="7">
        <f>1.5*MEDIAN(G$2:G$6)</f>
        <v>0.48296943996312969</v>
      </c>
      <c r="I33" s="10">
        <f t="shared" si="21"/>
        <v>0.96547339360701712</v>
      </c>
      <c r="J33" s="7">
        <f>1.5*MEDIAN(H$2:H$6)</f>
        <v>374.74964999999997</v>
      </c>
      <c r="K33" s="10">
        <f t="shared" si="22"/>
        <v>0.98760452117578024</v>
      </c>
    </row>
    <row r="34" spans="6:11" x14ac:dyDescent="0.35">
      <c r="F34" s="7">
        <f>1.6*MEDIAN(F$2:F$6)</f>
        <v>51.105808000000003</v>
      </c>
      <c r="G34" s="10">
        <f t="shared" si="20"/>
        <v>0.96001456343819991</v>
      </c>
      <c r="H34" s="7">
        <f>1.6*MEDIAN(G$2:G$6)</f>
        <v>0.5151674026273384</v>
      </c>
      <c r="I34" s="10">
        <f t="shared" si="21"/>
        <v>0.96742341717639857</v>
      </c>
      <c r="J34" s="7">
        <f>1.6*MEDIAN(H$2:H$6)</f>
        <v>399.73296000000005</v>
      </c>
      <c r="K34" s="10">
        <f t="shared" si="22"/>
        <v>0.98832507425315386</v>
      </c>
    </row>
    <row r="35" spans="6:11" x14ac:dyDescent="0.35">
      <c r="F35" s="7">
        <f>1.75*MEDIAN(F$2:F$6)</f>
        <v>55.896977500000006</v>
      </c>
      <c r="G35" s="10">
        <f t="shared" si="20"/>
        <v>0.96274655022283673</v>
      </c>
      <c r="H35" s="7">
        <f>1.75*MEDIAN(G$2:G$6)</f>
        <v>0.5634643466236513</v>
      </c>
      <c r="I35" s="10">
        <f t="shared" si="21"/>
        <v>0.96924973245178958</v>
      </c>
      <c r="J35" s="7">
        <f>1.75*MEDIAN(H$2:H$6)</f>
        <v>437.20792499999999</v>
      </c>
      <c r="K35" s="10">
        <f t="shared" si="22"/>
        <v>0.98908330404883282</v>
      </c>
    </row>
    <row r="36" spans="6:11" x14ac:dyDescent="0.35">
      <c r="F36" s="7">
        <f>2*MEDIAN(F$2:F$6)</f>
        <v>63.882260000000002</v>
      </c>
      <c r="G36" s="10">
        <f t="shared" si="20"/>
        <v>0.96534930739566094</v>
      </c>
      <c r="H36" s="7">
        <f>2*MEDIAN(G$2:G$6)</f>
        <v>0.64395925328417292</v>
      </c>
      <c r="I36" s="10">
        <f t="shared" si="21"/>
        <v>0.97096711636603084</v>
      </c>
      <c r="J36" s="7">
        <f>2*MEDIAN(H$2:H$6)</f>
        <v>499.6662</v>
      </c>
      <c r="K36" s="10">
        <f t="shared" si="22"/>
        <v>0.98981890364758585</v>
      </c>
    </row>
    <row r="37" spans="6:11" x14ac:dyDescent="0.35">
      <c r="F37" s="43">
        <v>270</v>
      </c>
      <c r="G37" s="10">
        <f t="shared" si="20"/>
        <v>0.99264705882352944</v>
      </c>
      <c r="H37" s="43">
        <v>1910</v>
      </c>
      <c r="I37" s="10">
        <f t="shared" si="21"/>
        <v>0.99375650364203949</v>
      </c>
      <c r="J37" s="43">
        <v>9650</v>
      </c>
      <c r="K37" s="10">
        <f t="shared" si="22"/>
        <v>0.99793174767321613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DBA3E-A867-46FB-93C1-DC2C8A308026}">
  <dimension ref="A1:D102"/>
  <sheetViews>
    <sheetView workbookViewId="0">
      <selection activeCell="B1" sqref="B1:B1048576"/>
    </sheetView>
  </sheetViews>
  <sheetFormatPr defaultRowHeight="14.5" x14ac:dyDescent="0.35"/>
  <cols>
    <col min="1" max="1" width="11.81640625" bestFit="1" customWidth="1"/>
    <col min="2" max="2" width="15.26953125" style="41" customWidth="1"/>
  </cols>
  <sheetData>
    <row r="1" spans="1:4" x14ac:dyDescent="0.35">
      <c r="A1" t="s">
        <v>2</v>
      </c>
      <c r="B1" s="41" t="s">
        <v>0</v>
      </c>
    </row>
    <row r="2" spans="1:4" x14ac:dyDescent="0.35">
      <c r="A2">
        <v>0</v>
      </c>
      <c r="B2" s="41">
        <f t="shared" ref="B2:B33" si="0">EXP(-((A2/D$3)^(D$2)))</f>
        <v>1</v>
      </c>
      <c r="C2" t="s">
        <v>8</v>
      </c>
      <c r="D2" s="13">
        <v>3.0001225470000001</v>
      </c>
    </row>
    <row r="3" spans="1:4" x14ac:dyDescent="0.35">
      <c r="A3">
        <v>6.5516768745981953</v>
      </c>
      <c r="B3" s="41">
        <f t="shared" si="0"/>
        <v>0.99026954929891331</v>
      </c>
      <c r="C3" t="s">
        <v>1</v>
      </c>
      <c r="D3" s="14">
        <v>30.63657894</v>
      </c>
    </row>
    <row r="4" spans="1:4" x14ac:dyDescent="0.35">
      <c r="A4">
        <v>7.5775657616025187</v>
      </c>
      <c r="B4" s="41">
        <f t="shared" si="0"/>
        <v>0.98498542540421063</v>
      </c>
    </row>
    <row r="5" spans="1:4" x14ac:dyDescent="0.35">
      <c r="A5">
        <v>10.16320850032136</v>
      </c>
      <c r="B5" s="41">
        <f t="shared" si="0"/>
        <v>0.96415646411124334</v>
      </c>
    </row>
    <row r="6" spans="1:4" x14ac:dyDescent="0.35">
      <c r="A6">
        <v>11.389333650955921</v>
      </c>
      <c r="B6" s="41">
        <f t="shared" si="0"/>
        <v>0.94992579369580776</v>
      </c>
    </row>
    <row r="7" spans="1:4" x14ac:dyDescent="0.35">
      <c r="A7">
        <v>11.50828146085134</v>
      </c>
      <c r="B7" s="41">
        <f t="shared" si="0"/>
        <v>0.94838202149079343</v>
      </c>
    </row>
    <row r="8" spans="1:4" x14ac:dyDescent="0.35">
      <c r="A8">
        <v>11.734799796700599</v>
      </c>
      <c r="B8" s="41">
        <f t="shared" si="0"/>
        <v>0.94535997200829647</v>
      </c>
    </row>
    <row r="9" spans="1:4" x14ac:dyDescent="0.35">
      <c r="A9">
        <v>12.10587486120896</v>
      </c>
      <c r="B9" s="41">
        <f t="shared" si="0"/>
        <v>0.9401738214389268</v>
      </c>
    </row>
    <row r="10" spans="1:4" x14ac:dyDescent="0.35">
      <c r="A10">
        <v>12.12778124726171</v>
      </c>
      <c r="B10" s="41">
        <f t="shared" si="0"/>
        <v>0.9398584278451505</v>
      </c>
    </row>
    <row r="11" spans="1:4" x14ac:dyDescent="0.35">
      <c r="A11">
        <v>12.7774598151615</v>
      </c>
      <c r="B11" s="41">
        <f t="shared" si="0"/>
        <v>0.9300303041788871</v>
      </c>
    </row>
    <row r="12" spans="1:4" x14ac:dyDescent="0.35">
      <c r="A12">
        <v>13.06500038672583</v>
      </c>
      <c r="B12" s="41">
        <f t="shared" si="0"/>
        <v>0.92538400661004194</v>
      </c>
    </row>
    <row r="13" spans="1:4" x14ac:dyDescent="0.35">
      <c r="A13">
        <v>13.867803227198941</v>
      </c>
      <c r="B13" s="41">
        <f t="shared" si="0"/>
        <v>0.91143181691422304</v>
      </c>
    </row>
    <row r="14" spans="1:4" x14ac:dyDescent="0.35">
      <c r="A14">
        <v>15.224208342532259</v>
      </c>
      <c r="B14" s="41">
        <f t="shared" si="0"/>
        <v>0.88452858872595874</v>
      </c>
    </row>
    <row r="15" spans="1:4" x14ac:dyDescent="0.35">
      <c r="A15">
        <v>15.76562182470493</v>
      </c>
      <c r="B15" s="41">
        <f t="shared" si="0"/>
        <v>0.87261332236028177</v>
      </c>
    </row>
    <row r="16" spans="1:4" x14ac:dyDescent="0.35">
      <c r="A16">
        <v>15.796252896969809</v>
      </c>
      <c r="B16" s="41">
        <f t="shared" si="0"/>
        <v>0.87191916192765395</v>
      </c>
    </row>
    <row r="17" spans="1:2" x14ac:dyDescent="0.35">
      <c r="A17">
        <v>16.38025351114474</v>
      </c>
      <c r="B17" s="41">
        <f t="shared" si="0"/>
        <v>0.85827588288926837</v>
      </c>
    </row>
    <row r="18" spans="1:2" x14ac:dyDescent="0.35">
      <c r="A18">
        <v>16.92977742029592</v>
      </c>
      <c r="B18" s="41">
        <f t="shared" si="0"/>
        <v>0.84473397534539596</v>
      </c>
    </row>
    <row r="19" spans="1:2" x14ac:dyDescent="0.35">
      <c r="A19">
        <v>17.489765375955159</v>
      </c>
      <c r="B19" s="41">
        <f t="shared" si="0"/>
        <v>0.83024216957857278</v>
      </c>
    </row>
    <row r="20" spans="1:2" x14ac:dyDescent="0.35">
      <c r="A20">
        <v>17.516902410534978</v>
      </c>
      <c r="B20" s="41">
        <f t="shared" si="0"/>
        <v>0.8295223744751774</v>
      </c>
    </row>
    <row r="21" spans="1:2" x14ac:dyDescent="0.35">
      <c r="A21">
        <v>17.595856460274991</v>
      </c>
      <c r="B21" s="41">
        <f t="shared" si="0"/>
        <v>0.82741902934607159</v>
      </c>
    </row>
    <row r="22" spans="1:2" x14ac:dyDescent="0.35">
      <c r="A22">
        <v>17.729868316751801</v>
      </c>
      <c r="B22" s="41">
        <f t="shared" si="0"/>
        <v>0.82381793022618999</v>
      </c>
    </row>
    <row r="23" spans="1:2" x14ac:dyDescent="0.35">
      <c r="A23">
        <v>19.61993403238079</v>
      </c>
      <c r="B23" s="41">
        <f t="shared" si="0"/>
        <v>0.76902462964016893</v>
      </c>
    </row>
    <row r="24" spans="1:2" x14ac:dyDescent="0.35">
      <c r="A24">
        <v>19.824644961165578</v>
      </c>
      <c r="B24" s="41">
        <f t="shared" si="0"/>
        <v>0.76266265473924033</v>
      </c>
    </row>
    <row r="25" spans="1:2" x14ac:dyDescent="0.35">
      <c r="A25">
        <v>20.231170283216581</v>
      </c>
      <c r="B25" s="41">
        <f t="shared" si="0"/>
        <v>0.74979756751016902</v>
      </c>
    </row>
    <row r="26" spans="1:2" x14ac:dyDescent="0.35">
      <c r="A26">
        <v>20.31923549672274</v>
      </c>
      <c r="B26" s="41">
        <f t="shared" si="0"/>
        <v>0.74697102277283411</v>
      </c>
    </row>
    <row r="27" spans="1:2" x14ac:dyDescent="0.35">
      <c r="A27">
        <v>20.681758648924919</v>
      </c>
      <c r="B27" s="41">
        <f t="shared" si="0"/>
        <v>0.73519145555578014</v>
      </c>
    </row>
    <row r="28" spans="1:2" x14ac:dyDescent="0.35">
      <c r="A28">
        <v>20.68346530709287</v>
      </c>
      <c r="B28" s="41">
        <f t="shared" si="0"/>
        <v>0.73513546194098478</v>
      </c>
    </row>
    <row r="29" spans="1:2" x14ac:dyDescent="0.35">
      <c r="A29">
        <v>20.876964806810381</v>
      </c>
      <c r="B29" s="41">
        <f t="shared" si="0"/>
        <v>0.72875493703007943</v>
      </c>
    </row>
    <row r="30" spans="1:2" x14ac:dyDescent="0.35">
      <c r="A30">
        <v>22.081088785543159</v>
      </c>
      <c r="B30" s="41">
        <f t="shared" si="0"/>
        <v>0.68770925795984028</v>
      </c>
    </row>
    <row r="31" spans="1:2" x14ac:dyDescent="0.35">
      <c r="A31">
        <v>22.314882225904409</v>
      </c>
      <c r="B31" s="41">
        <f t="shared" si="0"/>
        <v>0.67949322594086659</v>
      </c>
    </row>
    <row r="32" spans="1:2" x14ac:dyDescent="0.35">
      <c r="A32">
        <v>22.33177372034406</v>
      </c>
      <c r="B32" s="41">
        <f t="shared" si="0"/>
        <v>0.67889676533117527</v>
      </c>
    </row>
    <row r="33" spans="1:2" x14ac:dyDescent="0.35">
      <c r="A33">
        <v>22.451362631685519</v>
      </c>
      <c r="B33" s="41">
        <f t="shared" si="0"/>
        <v>0.67466317770958273</v>
      </c>
    </row>
    <row r="34" spans="1:2" x14ac:dyDescent="0.35">
      <c r="A34">
        <v>22.517916876285419</v>
      </c>
      <c r="B34" s="41">
        <f t="shared" ref="B34:B65" si="1">EXP(-((A34/D$3)^(D$2)))</f>
        <v>0.67229902982821832</v>
      </c>
    </row>
    <row r="35" spans="1:2" x14ac:dyDescent="0.35">
      <c r="A35">
        <v>22.6659396044411</v>
      </c>
      <c r="B35" s="41">
        <f t="shared" si="1"/>
        <v>0.66702077220025069</v>
      </c>
    </row>
    <row r="36" spans="1:2" x14ac:dyDescent="0.35">
      <c r="A36">
        <v>23.073230708133341</v>
      </c>
      <c r="B36" s="41">
        <f t="shared" si="1"/>
        <v>0.65235996520445638</v>
      </c>
    </row>
    <row r="37" spans="1:2" x14ac:dyDescent="0.35">
      <c r="A37">
        <v>23.564326565536529</v>
      </c>
      <c r="B37" s="41">
        <f t="shared" si="1"/>
        <v>0.6344353853134127</v>
      </c>
    </row>
    <row r="38" spans="1:2" x14ac:dyDescent="0.35">
      <c r="A38">
        <v>23.57024924920902</v>
      </c>
      <c r="B38" s="41">
        <f t="shared" si="1"/>
        <v>0.63421768710243931</v>
      </c>
    </row>
    <row r="39" spans="1:2" x14ac:dyDescent="0.35">
      <c r="A39">
        <v>23.72359340063338</v>
      </c>
      <c r="B39" s="41">
        <f t="shared" si="1"/>
        <v>0.62856936326387602</v>
      </c>
    </row>
    <row r="40" spans="1:2" x14ac:dyDescent="0.35">
      <c r="A40">
        <v>23.73049678767941</v>
      </c>
      <c r="B40" s="41">
        <f t="shared" si="1"/>
        <v>0.62831455160599547</v>
      </c>
    </row>
    <row r="41" spans="1:2" x14ac:dyDescent="0.35">
      <c r="A41">
        <v>23.839162150053351</v>
      </c>
      <c r="B41" s="41">
        <f t="shared" si="1"/>
        <v>0.62429773619930817</v>
      </c>
    </row>
    <row r="42" spans="1:2" x14ac:dyDescent="0.35">
      <c r="A42">
        <v>24.051247193458739</v>
      </c>
      <c r="B42" s="41">
        <f t="shared" si="1"/>
        <v>0.61642737225478161</v>
      </c>
    </row>
    <row r="43" spans="1:2" x14ac:dyDescent="0.35">
      <c r="A43">
        <v>24.16792556379102</v>
      </c>
      <c r="B43" s="41">
        <f t="shared" si="1"/>
        <v>0.61208104432373067</v>
      </c>
    </row>
    <row r="44" spans="1:2" x14ac:dyDescent="0.35">
      <c r="A44">
        <v>24.455765121313529</v>
      </c>
      <c r="B44" s="41">
        <f t="shared" si="1"/>
        <v>0.60131248603505116</v>
      </c>
    </row>
    <row r="45" spans="1:2" x14ac:dyDescent="0.35">
      <c r="A45">
        <v>24.463458301927979</v>
      </c>
      <c r="B45" s="41">
        <f t="shared" si="1"/>
        <v>0.60102381234004898</v>
      </c>
    </row>
    <row r="46" spans="1:2" x14ac:dyDescent="0.35">
      <c r="A46">
        <v>24.55495918907917</v>
      </c>
      <c r="B46" s="41">
        <f t="shared" si="1"/>
        <v>0.59758714288350401</v>
      </c>
    </row>
    <row r="47" spans="1:2" x14ac:dyDescent="0.35">
      <c r="A47">
        <v>24.69297971505997</v>
      </c>
      <c r="B47" s="41">
        <f t="shared" si="1"/>
        <v>0.59239227863295996</v>
      </c>
    </row>
    <row r="48" spans="1:2" x14ac:dyDescent="0.35">
      <c r="A48">
        <v>25.406662608400989</v>
      </c>
      <c r="B48" s="41">
        <f t="shared" si="1"/>
        <v>0.56534932983291319</v>
      </c>
    </row>
    <row r="49" spans="1:2" x14ac:dyDescent="0.35">
      <c r="A49">
        <v>25.570544046997622</v>
      </c>
      <c r="B49" s="41">
        <f t="shared" si="1"/>
        <v>0.55910423830738909</v>
      </c>
    </row>
    <row r="50" spans="1:2" x14ac:dyDescent="0.35">
      <c r="A50">
        <v>25.815126553108829</v>
      </c>
      <c r="B50" s="41">
        <f t="shared" si="1"/>
        <v>0.54976520949123997</v>
      </c>
    </row>
    <row r="51" spans="1:2" x14ac:dyDescent="0.35">
      <c r="A51">
        <v>26.53919839994575</v>
      </c>
      <c r="B51" s="41">
        <f t="shared" si="1"/>
        <v>0.52202889801389329</v>
      </c>
    </row>
    <row r="52" spans="1:2" x14ac:dyDescent="0.35">
      <c r="A52">
        <v>26.82615515101541</v>
      </c>
      <c r="B52" s="41">
        <f t="shared" si="1"/>
        <v>0.51101947695686201</v>
      </c>
    </row>
    <row r="53" spans="1:2" x14ac:dyDescent="0.35">
      <c r="A53">
        <v>27.159564781020212</v>
      </c>
      <c r="B53" s="41">
        <f t="shared" si="1"/>
        <v>0.4982304238645679</v>
      </c>
    </row>
    <row r="54" spans="1:2" x14ac:dyDescent="0.35">
      <c r="A54">
        <v>27.614394902934791</v>
      </c>
      <c r="B54" s="41">
        <f t="shared" si="1"/>
        <v>0.48080898411085338</v>
      </c>
    </row>
    <row r="55" spans="1:2" x14ac:dyDescent="0.35">
      <c r="A55">
        <v>27.77403123288175</v>
      </c>
      <c r="B55" s="41">
        <f t="shared" si="1"/>
        <v>0.47470623492979985</v>
      </c>
    </row>
    <row r="56" spans="1:2" x14ac:dyDescent="0.35">
      <c r="A56">
        <v>27.800690744530229</v>
      </c>
      <c r="B56" s="41">
        <f t="shared" si="1"/>
        <v>0.47368783469085457</v>
      </c>
    </row>
    <row r="57" spans="1:2" x14ac:dyDescent="0.35">
      <c r="A57">
        <v>27.84211465444606</v>
      </c>
      <c r="B57" s="41">
        <f t="shared" si="1"/>
        <v>0.4721059008821043</v>
      </c>
    </row>
    <row r="58" spans="1:2" x14ac:dyDescent="0.35">
      <c r="A58">
        <v>27.931864903864</v>
      </c>
      <c r="B58" s="41">
        <f t="shared" si="1"/>
        <v>0.46868049833474007</v>
      </c>
    </row>
    <row r="59" spans="1:2" x14ac:dyDescent="0.35">
      <c r="A59">
        <v>28.621262606442169</v>
      </c>
      <c r="B59" s="41">
        <f t="shared" si="1"/>
        <v>0.44248620436763192</v>
      </c>
    </row>
    <row r="60" spans="1:2" x14ac:dyDescent="0.35">
      <c r="A60">
        <v>29.580545266924219</v>
      </c>
      <c r="B60" s="41">
        <f t="shared" si="1"/>
        <v>0.40652471313165733</v>
      </c>
    </row>
    <row r="61" spans="1:2" x14ac:dyDescent="0.35">
      <c r="A61">
        <v>30.33617437473179</v>
      </c>
      <c r="B61" s="41">
        <f t="shared" si="1"/>
        <v>0.37875335668042404</v>
      </c>
    </row>
    <row r="62" spans="1:2" x14ac:dyDescent="0.35">
      <c r="A62">
        <v>30.378800212027869</v>
      </c>
      <c r="B62" s="41">
        <f t="shared" si="1"/>
        <v>0.37720422204407528</v>
      </c>
    </row>
    <row r="63" spans="1:2" x14ac:dyDescent="0.35">
      <c r="A63">
        <v>30.54652467245381</v>
      </c>
      <c r="B63" s="41">
        <f t="shared" si="1"/>
        <v>0.37112838336119103</v>
      </c>
    </row>
    <row r="64" spans="1:2" x14ac:dyDescent="0.35">
      <c r="A64">
        <v>30.548334213130829</v>
      </c>
      <c r="B64" s="41">
        <f t="shared" si="1"/>
        <v>0.37106300686478383</v>
      </c>
    </row>
    <row r="65" spans="1:2" x14ac:dyDescent="0.35">
      <c r="A65">
        <v>31.261499155985469</v>
      </c>
      <c r="B65" s="41">
        <f t="shared" si="1"/>
        <v>0.34560704062039238</v>
      </c>
    </row>
    <row r="66" spans="1:2" x14ac:dyDescent="0.35">
      <c r="A66">
        <v>31.36791921495967</v>
      </c>
      <c r="B66" s="41">
        <f t="shared" ref="B66:B97" si="2">EXP(-((A66/D$3)^(D$2)))</f>
        <v>0.34186455184214393</v>
      </c>
    </row>
    <row r="67" spans="1:2" x14ac:dyDescent="0.35">
      <c r="A67">
        <v>31.4470719013969</v>
      </c>
      <c r="B67" s="41">
        <f t="shared" si="2"/>
        <v>0.33909098666064952</v>
      </c>
    </row>
    <row r="68" spans="1:2" x14ac:dyDescent="0.35">
      <c r="A68">
        <v>31.745412188938658</v>
      </c>
      <c r="B68" s="41">
        <f t="shared" si="2"/>
        <v>0.32871589887710334</v>
      </c>
    </row>
    <row r="69" spans="1:2" x14ac:dyDescent="0.35">
      <c r="A69">
        <v>31.955522663803201</v>
      </c>
      <c r="B69" s="41">
        <f t="shared" si="2"/>
        <v>0.32148650581892019</v>
      </c>
    </row>
    <row r="70" spans="1:2" x14ac:dyDescent="0.35">
      <c r="A70">
        <v>32.513172408105348</v>
      </c>
      <c r="B70" s="41">
        <f t="shared" si="2"/>
        <v>0.30262691403509018</v>
      </c>
    </row>
    <row r="71" spans="1:2" x14ac:dyDescent="0.35">
      <c r="A71">
        <v>32.742163816162837</v>
      </c>
      <c r="B71" s="41">
        <f t="shared" si="2"/>
        <v>0.29502696082808794</v>
      </c>
    </row>
    <row r="72" spans="1:2" x14ac:dyDescent="0.35">
      <c r="A72">
        <v>32.978237923830541</v>
      </c>
      <c r="B72" s="41">
        <f t="shared" si="2"/>
        <v>0.28728391409778581</v>
      </c>
    </row>
    <row r="73" spans="1:2" x14ac:dyDescent="0.35">
      <c r="A73">
        <v>33.668776091680037</v>
      </c>
      <c r="B73" s="41">
        <f t="shared" si="2"/>
        <v>0.26519465435439366</v>
      </c>
    </row>
    <row r="74" spans="1:2" x14ac:dyDescent="0.35">
      <c r="A74">
        <v>33.673972856367833</v>
      </c>
      <c r="B74" s="41">
        <f t="shared" si="2"/>
        <v>0.26503168376041469</v>
      </c>
    </row>
    <row r="75" spans="1:2" x14ac:dyDescent="0.35">
      <c r="A75">
        <v>34.595262106923506</v>
      </c>
      <c r="B75" s="41">
        <f t="shared" si="2"/>
        <v>0.23694893203590073</v>
      </c>
    </row>
    <row r="76" spans="1:2" x14ac:dyDescent="0.35">
      <c r="A76">
        <v>35.298120205363134</v>
      </c>
      <c r="B76" s="41">
        <f t="shared" si="2"/>
        <v>0.21665007636605016</v>
      </c>
    </row>
    <row r="77" spans="1:2" x14ac:dyDescent="0.35">
      <c r="A77">
        <v>35.554932618478347</v>
      </c>
      <c r="B77" s="41">
        <f t="shared" si="2"/>
        <v>0.20948570543684941</v>
      </c>
    </row>
    <row r="78" spans="1:2" x14ac:dyDescent="0.35">
      <c r="A78">
        <v>35.844772186709783</v>
      </c>
      <c r="B78" s="41">
        <f t="shared" si="2"/>
        <v>0.20156559011044772</v>
      </c>
    </row>
    <row r="79" spans="1:2" x14ac:dyDescent="0.35">
      <c r="A79">
        <v>36.571491274090619</v>
      </c>
      <c r="B79" s="41">
        <f t="shared" si="2"/>
        <v>0.18249212782243321</v>
      </c>
    </row>
    <row r="80" spans="1:2" x14ac:dyDescent="0.35">
      <c r="A80">
        <v>36.900027068905587</v>
      </c>
      <c r="B80" s="41">
        <f t="shared" si="2"/>
        <v>0.17424259349943844</v>
      </c>
    </row>
    <row r="81" spans="1:2" x14ac:dyDescent="0.35">
      <c r="A81">
        <v>37.469816908317341</v>
      </c>
      <c r="B81" s="41">
        <f t="shared" si="2"/>
        <v>0.16049229953117497</v>
      </c>
    </row>
    <row r="82" spans="1:2" x14ac:dyDescent="0.35">
      <c r="A82">
        <v>38.537144361949288</v>
      </c>
      <c r="B82" s="41">
        <f t="shared" si="2"/>
        <v>0.13664724998112365</v>
      </c>
    </row>
    <row r="83" spans="1:2" x14ac:dyDescent="0.35">
      <c r="A83">
        <v>38.660072949317573</v>
      </c>
      <c r="B83" s="41">
        <f t="shared" si="2"/>
        <v>0.13406091254460228</v>
      </c>
    </row>
    <row r="84" spans="1:2" x14ac:dyDescent="0.35">
      <c r="A84">
        <v>39.064416506194412</v>
      </c>
      <c r="B84" s="41">
        <f t="shared" si="2"/>
        <v>0.12578566160089924</v>
      </c>
    </row>
    <row r="85" spans="1:2" x14ac:dyDescent="0.35">
      <c r="A85">
        <v>39.141118943403733</v>
      </c>
      <c r="B85" s="41">
        <f t="shared" si="2"/>
        <v>0.12425587020782472</v>
      </c>
    </row>
    <row r="86" spans="1:2" x14ac:dyDescent="0.35">
      <c r="A86">
        <v>39.302959908297979</v>
      </c>
      <c r="B86" s="41">
        <f t="shared" si="2"/>
        <v>0.12106969864296224</v>
      </c>
    </row>
    <row r="87" spans="1:2" x14ac:dyDescent="0.35">
      <c r="A87">
        <v>39.608080142815808</v>
      </c>
      <c r="B87" s="41">
        <f t="shared" si="2"/>
        <v>0.11521588717395763</v>
      </c>
    </row>
    <row r="88" spans="1:2" x14ac:dyDescent="0.35">
      <c r="A88">
        <v>40.543887205136372</v>
      </c>
      <c r="B88" s="41">
        <f t="shared" si="2"/>
        <v>9.8493018923323586E-2</v>
      </c>
    </row>
    <row r="89" spans="1:2" x14ac:dyDescent="0.35">
      <c r="A89">
        <v>41.002557271958793</v>
      </c>
      <c r="B89" s="41">
        <f t="shared" si="2"/>
        <v>9.0960634957440487E-2</v>
      </c>
    </row>
    <row r="90" spans="1:2" x14ac:dyDescent="0.35">
      <c r="A90">
        <v>41.346292973505378</v>
      </c>
      <c r="B90" s="41">
        <f t="shared" si="2"/>
        <v>8.5594845587139756E-2</v>
      </c>
    </row>
    <row r="91" spans="1:2" x14ac:dyDescent="0.35">
      <c r="A91">
        <v>41.761145967116718</v>
      </c>
      <c r="B91" s="41">
        <f t="shared" si="2"/>
        <v>7.943072393635793E-2</v>
      </c>
    </row>
    <row r="92" spans="1:2" x14ac:dyDescent="0.35">
      <c r="A92">
        <v>42.008714937699743</v>
      </c>
      <c r="B92" s="41">
        <f t="shared" si="2"/>
        <v>7.5911609202967578E-2</v>
      </c>
    </row>
    <row r="93" spans="1:2" x14ac:dyDescent="0.35">
      <c r="A93">
        <v>42.822822317624151</v>
      </c>
      <c r="B93" s="41">
        <f t="shared" si="2"/>
        <v>6.5153619623146322E-2</v>
      </c>
    </row>
    <row r="94" spans="1:2" x14ac:dyDescent="0.35">
      <c r="A94">
        <v>43.725297851573082</v>
      </c>
      <c r="B94" s="41">
        <f t="shared" si="2"/>
        <v>5.4620595911286603E-2</v>
      </c>
    </row>
    <row r="95" spans="1:2" x14ac:dyDescent="0.35">
      <c r="A95">
        <v>43.841566919922073</v>
      </c>
      <c r="B95" s="41">
        <f t="shared" si="2"/>
        <v>5.3365035376342324E-2</v>
      </c>
    </row>
    <row r="96" spans="1:2" x14ac:dyDescent="0.35">
      <c r="A96">
        <v>44.283049106269509</v>
      </c>
      <c r="B96" s="41">
        <f t="shared" si="2"/>
        <v>4.8799721661326095E-2</v>
      </c>
    </row>
    <row r="97" spans="1:2" x14ac:dyDescent="0.35">
      <c r="A97">
        <v>46.752795368908778</v>
      </c>
      <c r="B97" s="41">
        <f t="shared" si="2"/>
        <v>2.8608327837857467E-2</v>
      </c>
    </row>
    <row r="98" spans="1:2" x14ac:dyDescent="0.35">
      <c r="A98">
        <v>47.560461121595679</v>
      </c>
      <c r="B98" s="41">
        <f t="shared" ref="B98:B102" si="3">EXP(-((A98/D$3)^(D$2)))</f>
        <v>2.3719515444239114E-2</v>
      </c>
    </row>
    <row r="99" spans="1:2" x14ac:dyDescent="0.35">
      <c r="A99">
        <v>49.292139708634188</v>
      </c>
      <c r="B99" s="41">
        <f t="shared" si="3"/>
        <v>1.5526362133900122E-2</v>
      </c>
    </row>
    <row r="100" spans="1:2" x14ac:dyDescent="0.35">
      <c r="A100">
        <v>49.533436489344098</v>
      </c>
      <c r="B100" s="41">
        <f t="shared" si="3"/>
        <v>1.4600674557887602E-2</v>
      </c>
    </row>
    <row r="101" spans="1:2" x14ac:dyDescent="0.35">
      <c r="A101">
        <v>51.079696518758077</v>
      </c>
      <c r="B101" s="41">
        <f t="shared" si="3"/>
        <v>9.7059423883109272E-3</v>
      </c>
    </row>
    <row r="102" spans="1:2" x14ac:dyDescent="0.35">
      <c r="A102">
        <v>52.195741716976343</v>
      </c>
      <c r="B102" s="41">
        <f t="shared" si="3"/>
        <v>7.1151480739378497E-3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E71C-3EA3-479F-80B6-DE6B37E5802F}">
  <dimension ref="A1:D102"/>
  <sheetViews>
    <sheetView workbookViewId="0">
      <selection activeCell="N7" sqref="N7"/>
    </sheetView>
  </sheetViews>
  <sheetFormatPr defaultRowHeight="14.5" x14ac:dyDescent="0.35"/>
  <cols>
    <col min="2" max="2" width="15.26953125" customWidth="1"/>
  </cols>
  <sheetData>
    <row r="1" spans="1:4" x14ac:dyDescent="0.35">
      <c r="A1" t="s">
        <v>2</v>
      </c>
      <c r="B1" t="s">
        <v>0</v>
      </c>
    </row>
    <row r="2" spans="1:4" x14ac:dyDescent="0.35">
      <c r="A2" s="15">
        <v>0</v>
      </c>
      <c r="B2">
        <f>EXP(-((A2/D$3)^(D$2)))</f>
        <v>1</v>
      </c>
      <c r="C2" t="s">
        <v>8</v>
      </c>
      <c r="D2">
        <v>2.0002191069999999</v>
      </c>
    </row>
    <row r="3" spans="1:4" x14ac:dyDescent="0.35">
      <c r="A3">
        <v>16.881427956526782</v>
      </c>
      <c r="B3">
        <f>EXP(-((A3/D$3)^(D$2)))</f>
        <v>0.99539851071413676</v>
      </c>
      <c r="C3" t="s">
        <v>1</v>
      </c>
      <c r="D3" s="14">
        <v>248.50290000000001</v>
      </c>
    </row>
    <row r="4" spans="1:4" x14ac:dyDescent="0.35">
      <c r="A4">
        <v>28.89467104705022</v>
      </c>
      <c r="B4">
        <f t="shared" ref="B4:B67" si="0">EXP(-((A4/D$3)^(D$2)))</f>
        <v>0.98657739798051181</v>
      </c>
    </row>
    <row r="5" spans="1:4" x14ac:dyDescent="0.35">
      <c r="A5">
        <v>39.337780909126487</v>
      </c>
      <c r="B5">
        <f t="shared" si="0"/>
        <v>0.9752626293065314</v>
      </c>
    </row>
    <row r="6" spans="1:4" x14ac:dyDescent="0.35">
      <c r="A6">
        <v>39.774968721707623</v>
      </c>
      <c r="B6">
        <f t="shared" si="0"/>
        <v>0.9747167152071472</v>
      </c>
    </row>
    <row r="7" spans="1:4" x14ac:dyDescent="0.35">
      <c r="A7">
        <v>48.247025765603013</v>
      </c>
      <c r="B7">
        <f t="shared" si="0"/>
        <v>0.96302011402953103</v>
      </c>
    </row>
    <row r="8" spans="1:4" x14ac:dyDescent="0.35">
      <c r="A8">
        <v>52.299551803776922</v>
      </c>
      <c r="B8">
        <f t="shared" si="0"/>
        <v>0.95668828149151786</v>
      </c>
    </row>
    <row r="9" spans="1:4" x14ac:dyDescent="0.35">
      <c r="A9">
        <v>56.099103199929353</v>
      </c>
      <c r="B9">
        <f>EXP(-((A9/D$3)^(D$2)))</f>
        <v>0.95033029931640634</v>
      </c>
    </row>
    <row r="10" spans="1:4" x14ac:dyDescent="0.35">
      <c r="A10">
        <v>58.548245178094227</v>
      </c>
      <c r="B10">
        <f t="shared" si="0"/>
        <v>0.94601996575597957</v>
      </c>
    </row>
    <row r="11" spans="1:4" x14ac:dyDescent="0.35">
      <c r="A11">
        <v>60.934315899705318</v>
      </c>
      <c r="B11">
        <f t="shared" si="0"/>
        <v>0.94166349043975517</v>
      </c>
    </row>
    <row r="12" spans="1:4" x14ac:dyDescent="0.35">
      <c r="A12">
        <v>66.50149783929416</v>
      </c>
      <c r="B12">
        <f t="shared" si="0"/>
        <v>0.93090909558832424</v>
      </c>
    </row>
    <row r="13" spans="1:4" x14ac:dyDescent="0.35">
      <c r="A13">
        <v>72.524099773356141</v>
      </c>
      <c r="B13">
        <f t="shared" si="0"/>
        <v>0.91837453060612706</v>
      </c>
    </row>
    <row r="14" spans="1:4" x14ac:dyDescent="0.35">
      <c r="A14">
        <v>75.550518256222588</v>
      </c>
      <c r="B14">
        <f t="shared" si="0"/>
        <v>0.91173520043107481</v>
      </c>
    </row>
    <row r="15" spans="1:4" x14ac:dyDescent="0.35">
      <c r="A15">
        <v>85.895908704761766</v>
      </c>
      <c r="B15">
        <f t="shared" si="0"/>
        <v>0.88740964792467014</v>
      </c>
    </row>
    <row r="16" spans="1:4" x14ac:dyDescent="0.35">
      <c r="A16">
        <v>89.648956837310976</v>
      </c>
      <c r="B16">
        <f t="shared" si="0"/>
        <v>0.87799362064308484</v>
      </c>
    </row>
    <row r="17" spans="1:2" x14ac:dyDescent="0.35">
      <c r="A17">
        <v>89.707199162705109</v>
      </c>
      <c r="B17">
        <f t="shared" si="0"/>
        <v>0.87784513061360414</v>
      </c>
    </row>
    <row r="18" spans="1:2" x14ac:dyDescent="0.35">
      <c r="A18">
        <v>93.326078871640703</v>
      </c>
      <c r="B18">
        <f t="shared" si="0"/>
        <v>0.86848062380536206</v>
      </c>
    </row>
    <row r="19" spans="1:2" x14ac:dyDescent="0.35">
      <c r="A19">
        <v>94.304628226360308</v>
      </c>
      <c r="B19">
        <f t="shared" si="0"/>
        <v>0.86590256186169667</v>
      </c>
    </row>
    <row r="20" spans="1:2" x14ac:dyDescent="0.35">
      <c r="A20">
        <v>99.411485569927279</v>
      </c>
      <c r="B20">
        <f t="shared" si="0"/>
        <v>0.85214283431999105</v>
      </c>
    </row>
    <row r="21" spans="1:2" x14ac:dyDescent="0.35">
      <c r="A21">
        <v>100.5540575359145</v>
      </c>
      <c r="B21">
        <f t="shared" si="0"/>
        <v>0.84899620150037258</v>
      </c>
    </row>
    <row r="22" spans="1:2" x14ac:dyDescent="0.35">
      <c r="A22">
        <v>106.44669882443939</v>
      </c>
      <c r="B22">
        <f t="shared" si="0"/>
        <v>0.83239241098092964</v>
      </c>
    </row>
    <row r="23" spans="1:2" x14ac:dyDescent="0.35">
      <c r="A23">
        <v>109.7964766927782</v>
      </c>
      <c r="B23">
        <f t="shared" si="0"/>
        <v>0.82268624862760054</v>
      </c>
    </row>
    <row r="24" spans="1:2" x14ac:dyDescent="0.35">
      <c r="A24">
        <v>110.3879446876438</v>
      </c>
      <c r="B24">
        <f t="shared" si="0"/>
        <v>0.82095323718730151</v>
      </c>
    </row>
    <row r="25" spans="1:2" x14ac:dyDescent="0.35">
      <c r="A25">
        <v>111.7485014615242</v>
      </c>
      <c r="B25">
        <f t="shared" si="0"/>
        <v>0.8169454865335537</v>
      </c>
    </row>
    <row r="26" spans="1:2" x14ac:dyDescent="0.35">
      <c r="A26">
        <v>113.99098669505079</v>
      </c>
      <c r="B26">
        <f t="shared" si="0"/>
        <v>0.81027648135755104</v>
      </c>
    </row>
    <row r="27" spans="1:2" x14ac:dyDescent="0.35">
      <c r="A27">
        <v>115.48637875506419</v>
      </c>
      <c r="B27">
        <f t="shared" si="0"/>
        <v>0.80578661677023311</v>
      </c>
    </row>
    <row r="28" spans="1:2" x14ac:dyDescent="0.35">
      <c r="A28">
        <v>115.5077816578189</v>
      </c>
      <c r="B28">
        <f t="shared" si="0"/>
        <v>0.80572211255604431</v>
      </c>
    </row>
    <row r="29" spans="1:2" x14ac:dyDescent="0.35">
      <c r="A29">
        <v>115.52024618503749</v>
      </c>
      <c r="B29">
        <f t="shared" si="0"/>
        <v>0.80568454374977616</v>
      </c>
    </row>
    <row r="30" spans="1:2" x14ac:dyDescent="0.35">
      <c r="A30">
        <v>120.8462954407254</v>
      </c>
      <c r="B30">
        <f t="shared" si="0"/>
        <v>0.78942714040807238</v>
      </c>
    </row>
    <row r="31" spans="1:2" x14ac:dyDescent="0.35">
      <c r="A31">
        <v>122.6693841582013</v>
      </c>
      <c r="B31">
        <f t="shared" si="0"/>
        <v>0.78377251970837725</v>
      </c>
    </row>
    <row r="32" spans="1:2" x14ac:dyDescent="0.35">
      <c r="A32">
        <v>127.86629173806649</v>
      </c>
      <c r="B32">
        <f t="shared" si="0"/>
        <v>0.76742115550921963</v>
      </c>
    </row>
    <row r="33" spans="1:2" x14ac:dyDescent="0.35">
      <c r="A33">
        <v>128.54081629225661</v>
      </c>
      <c r="B33">
        <f t="shared" si="0"/>
        <v>0.76527493041723504</v>
      </c>
    </row>
    <row r="34" spans="1:2" x14ac:dyDescent="0.35">
      <c r="A34">
        <v>128.79068825716601</v>
      </c>
      <c r="B34">
        <f t="shared" si="0"/>
        <v>0.76447854385742275</v>
      </c>
    </row>
    <row r="35" spans="1:2" x14ac:dyDescent="0.35">
      <c r="A35">
        <v>137.34764569365791</v>
      </c>
      <c r="B35">
        <f t="shared" si="0"/>
        <v>0.73680057114737318</v>
      </c>
    </row>
    <row r="36" spans="1:2" x14ac:dyDescent="0.35">
      <c r="A36">
        <v>138.04403594410971</v>
      </c>
      <c r="B36">
        <f t="shared" si="0"/>
        <v>0.73451598389422357</v>
      </c>
    </row>
    <row r="37" spans="1:2" x14ac:dyDescent="0.35">
      <c r="A37">
        <v>143.14131501336561</v>
      </c>
      <c r="B37">
        <f t="shared" si="0"/>
        <v>0.7176647103098327</v>
      </c>
    </row>
    <row r="38" spans="1:2" x14ac:dyDescent="0.35">
      <c r="A38">
        <v>150.8029161487749</v>
      </c>
      <c r="B38">
        <f t="shared" si="0"/>
        <v>0.69196396210452327</v>
      </c>
    </row>
    <row r="39" spans="1:2" x14ac:dyDescent="0.35">
      <c r="A39">
        <v>155.29153081757249</v>
      </c>
      <c r="B39">
        <f t="shared" si="0"/>
        <v>0.67673860524998153</v>
      </c>
    </row>
    <row r="40" spans="1:2" x14ac:dyDescent="0.35">
      <c r="A40">
        <v>157.41817398774771</v>
      </c>
      <c r="B40">
        <f t="shared" si="0"/>
        <v>0.66948988839070001</v>
      </c>
    </row>
    <row r="41" spans="1:2" x14ac:dyDescent="0.35">
      <c r="A41">
        <v>161.78260815919921</v>
      </c>
      <c r="B41">
        <f t="shared" si="0"/>
        <v>0.65455545124134229</v>
      </c>
    </row>
    <row r="42" spans="1:2" x14ac:dyDescent="0.35">
      <c r="A42">
        <v>162.1405969983166</v>
      </c>
      <c r="B42">
        <f t="shared" si="0"/>
        <v>0.65332746299995759</v>
      </c>
    </row>
    <row r="43" spans="1:2" x14ac:dyDescent="0.35">
      <c r="A43">
        <v>170.35797486024961</v>
      </c>
      <c r="B43">
        <f t="shared" si="0"/>
        <v>0.62505081027291354</v>
      </c>
    </row>
    <row r="44" spans="1:2" x14ac:dyDescent="0.35">
      <c r="A44">
        <v>173.5270735585469</v>
      </c>
      <c r="B44">
        <f t="shared" si="0"/>
        <v>0.61411660094888065</v>
      </c>
    </row>
    <row r="45" spans="1:2" x14ac:dyDescent="0.35">
      <c r="A45">
        <v>174.08853558792839</v>
      </c>
      <c r="B45">
        <f t="shared" si="0"/>
        <v>0.61217868473441539</v>
      </c>
    </row>
    <row r="46" spans="1:2" x14ac:dyDescent="0.35">
      <c r="A46">
        <v>180.04157052481651</v>
      </c>
      <c r="B46">
        <f t="shared" si="0"/>
        <v>0.59163209536950701</v>
      </c>
    </row>
    <row r="47" spans="1:2" x14ac:dyDescent="0.35">
      <c r="A47">
        <v>191.8631997407374</v>
      </c>
      <c r="B47">
        <f t="shared" si="0"/>
        <v>0.55097379503810517</v>
      </c>
    </row>
    <row r="48" spans="1:2" x14ac:dyDescent="0.35">
      <c r="A48">
        <v>196.19334950729481</v>
      </c>
      <c r="B48">
        <f t="shared" si="0"/>
        <v>0.53618290203175512</v>
      </c>
    </row>
    <row r="49" spans="1:2" x14ac:dyDescent="0.35">
      <c r="A49">
        <v>205.38135838860771</v>
      </c>
      <c r="B49">
        <f t="shared" si="0"/>
        <v>0.50508330763148257</v>
      </c>
    </row>
    <row r="50" spans="1:2" x14ac:dyDescent="0.35">
      <c r="A50">
        <v>207.48447975195711</v>
      </c>
      <c r="B50">
        <f t="shared" si="0"/>
        <v>0.49803064018962456</v>
      </c>
    </row>
    <row r="51" spans="1:2" x14ac:dyDescent="0.35">
      <c r="A51">
        <v>207.6179945508097</v>
      </c>
      <c r="B51">
        <f t="shared" si="0"/>
        <v>0.49758383992133715</v>
      </c>
    </row>
    <row r="52" spans="1:2" x14ac:dyDescent="0.35">
      <c r="A52">
        <v>208.56675962805161</v>
      </c>
      <c r="B52">
        <f t="shared" si="0"/>
        <v>0.49441214751014623</v>
      </c>
    </row>
    <row r="53" spans="1:2" x14ac:dyDescent="0.35">
      <c r="A53">
        <v>209.4068875242971</v>
      </c>
      <c r="B53">
        <f t="shared" si="0"/>
        <v>0.49160853918669012</v>
      </c>
    </row>
    <row r="54" spans="1:2" x14ac:dyDescent="0.35">
      <c r="A54">
        <v>213.86513564285329</v>
      </c>
      <c r="B54">
        <f t="shared" si="0"/>
        <v>0.47681222741543267</v>
      </c>
    </row>
    <row r="55" spans="1:2" x14ac:dyDescent="0.35">
      <c r="A55">
        <v>214.99186349052971</v>
      </c>
      <c r="B55">
        <f t="shared" si="0"/>
        <v>0.47309557972110844</v>
      </c>
    </row>
    <row r="56" spans="1:2" x14ac:dyDescent="0.35">
      <c r="A56">
        <v>222.2595893294947</v>
      </c>
      <c r="B56">
        <f t="shared" si="0"/>
        <v>0.44936415297431986</v>
      </c>
    </row>
    <row r="57" spans="1:2" x14ac:dyDescent="0.35">
      <c r="A57">
        <v>222.7931200132594</v>
      </c>
      <c r="B57">
        <f t="shared" si="0"/>
        <v>0.44763947242693847</v>
      </c>
    </row>
    <row r="58" spans="1:2" x14ac:dyDescent="0.35">
      <c r="A58">
        <v>225.31412318124501</v>
      </c>
      <c r="B58">
        <f t="shared" si="0"/>
        <v>0.43952440939210519</v>
      </c>
    </row>
    <row r="59" spans="1:2" x14ac:dyDescent="0.35">
      <c r="A59">
        <v>225.740068494089</v>
      </c>
      <c r="B59">
        <f t="shared" si="0"/>
        <v>0.43815899169504152</v>
      </c>
    </row>
    <row r="60" spans="1:2" x14ac:dyDescent="0.35">
      <c r="A60">
        <v>227.17296074158989</v>
      </c>
      <c r="B60">
        <f t="shared" si="0"/>
        <v>0.43357804051966442</v>
      </c>
    </row>
    <row r="61" spans="1:2" x14ac:dyDescent="0.35">
      <c r="A61">
        <v>232.10646180928319</v>
      </c>
      <c r="B61">
        <f t="shared" si="0"/>
        <v>0.41795618061460893</v>
      </c>
    </row>
    <row r="62" spans="1:2" x14ac:dyDescent="0.35">
      <c r="A62">
        <v>234.07163166605281</v>
      </c>
      <c r="B62">
        <f t="shared" si="0"/>
        <v>0.41180096100225166</v>
      </c>
    </row>
    <row r="63" spans="1:2" x14ac:dyDescent="0.35">
      <c r="A63">
        <v>236.4816551785388</v>
      </c>
      <c r="B63">
        <f t="shared" si="0"/>
        <v>0.40430693975899817</v>
      </c>
    </row>
    <row r="64" spans="1:2" x14ac:dyDescent="0.35">
      <c r="A64">
        <v>238.38594141808321</v>
      </c>
      <c r="B64">
        <f t="shared" si="0"/>
        <v>0.39842906850011905</v>
      </c>
    </row>
    <row r="65" spans="1:2" x14ac:dyDescent="0.35">
      <c r="A65">
        <v>240.59190073452629</v>
      </c>
      <c r="B65">
        <f t="shared" si="0"/>
        <v>0.39166925664948377</v>
      </c>
    </row>
    <row r="66" spans="1:2" x14ac:dyDescent="0.35">
      <c r="A66">
        <v>247.46649412282781</v>
      </c>
      <c r="B66">
        <f t="shared" si="0"/>
        <v>0.37095471405981917</v>
      </c>
    </row>
    <row r="67" spans="1:2" x14ac:dyDescent="0.35">
      <c r="A67">
        <v>250.10042867584701</v>
      </c>
      <c r="B67">
        <f t="shared" si="0"/>
        <v>0.36316428446619536</v>
      </c>
    </row>
    <row r="68" spans="1:2" x14ac:dyDescent="0.35">
      <c r="A68">
        <v>267.40698208513322</v>
      </c>
      <c r="B68">
        <f t="shared" ref="B68:B102" si="1">EXP(-((A68/D$3)^(D$2)))</f>
        <v>0.31412971089212055</v>
      </c>
    </row>
    <row r="69" spans="1:2" x14ac:dyDescent="0.35">
      <c r="A69">
        <v>271.53936455336878</v>
      </c>
      <c r="B69">
        <f t="shared" si="1"/>
        <v>0.30300116038263508</v>
      </c>
    </row>
    <row r="70" spans="1:2" x14ac:dyDescent="0.35">
      <c r="A70">
        <v>285.38655511351863</v>
      </c>
      <c r="B70">
        <f t="shared" si="1"/>
        <v>0.26742492987838695</v>
      </c>
    </row>
    <row r="71" spans="1:2" x14ac:dyDescent="0.35">
      <c r="A71">
        <v>288.92525953201448</v>
      </c>
      <c r="B71">
        <f t="shared" si="1"/>
        <v>0.25876599249025134</v>
      </c>
    </row>
    <row r="72" spans="1:2" x14ac:dyDescent="0.35">
      <c r="A72">
        <v>295.41721982899247</v>
      </c>
      <c r="B72">
        <f t="shared" si="1"/>
        <v>0.24334623327855529</v>
      </c>
    </row>
    <row r="73" spans="1:2" x14ac:dyDescent="0.35">
      <c r="A73">
        <v>296.62401754837981</v>
      </c>
      <c r="B73">
        <f t="shared" si="1"/>
        <v>0.24054659395544628</v>
      </c>
    </row>
    <row r="74" spans="1:2" x14ac:dyDescent="0.35">
      <c r="A74">
        <v>308.41604579050949</v>
      </c>
      <c r="B74">
        <f t="shared" si="1"/>
        <v>0.21429684792827808</v>
      </c>
    </row>
    <row r="75" spans="1:2" x14ac:dyDescent="0.35">
      <c r="A75">
        <v>312.53953151395791</v>
      </c>
      <c r="B75">
        <f t="shared" si="1"/>
        <v>0.20559176844615221</v>
      </c>
    </row>
    <row r="76" spans="1:2" x14ac:dyDescent="0.35">
      <c r="A76">
        <v>318.93097883900731</v>
      </c>
      <c r="B76">
        <f t="shared" si="1"/>
        <v>0.19258263209432963</v>
      </c>
    </row>
    <row r="77" spans="1:2" x14ac:dyDescent="0.35">
      <c r="A77">
        <v>319.44460345479928</v>
      </c>
      <c r="B77">
        <f t="shared" si="1"/>
        <v>0.19156264412165275</v>
      </c>
    </row>
    <row r="78" spans="1:2" x14ac:dyDescent="0.35">
      <c r="A78">
        <v>320.93015632248421</v>
      </c>
      <c r="B78">
        <f t="shared" si="1"/>
        <v>0.18863377125942665</v>
      </c>
    </row>
    <row r="79" spans="1:2" x14ac:dyDescent="0.35">
      <c r="A79">
        <v>324.69461107079269</v>
      </c>
      <c r="B79">
        <f t="shared" si="1"/>
        <v>0.18135276072369871</v>
      </c>
    </row>
    <row r="80" spans="1:2" x14ac:dyDescent="0.35">
      <c r="A80">
        <v>325.57555576616409</v>
      </c>
      <c r="B80">
        <f t="shared" si="1"/>
        <v>0.17967795764944819</v>
      </c>
    </row>
    <row r="81" spans="1:2" x14ac:dyDescent="0.35">
      <c r="A81">
        <v>327.73608616294069</v>
      </c>
      <c r="B81">
        <f t="shared" si="1"/>
        <v>0.17561697109035387</v>
      </c>
    </row>
    <row r="82" spans="1:2" x14ac:dyDescent="0.35">
      <c r="A82">
        <v>328.30576351300698</v>
      </c>
      <c r="B82">
        <f t="shared" si="1"/>
        <v>0.17455717010577423</v>
      </c>
    </row>
    <row r="83" spans="1:2" x14ac:dyDescent="0.35">
      <c r="A83">
        <v>330.11060026744809</v>
      </c>
      <c r="B83">
        <f t="shared" si="1"/>
        <v>0.17122969322912415</v>
      </c>
    </row>
    <row r="84" spans="1:2" x14ac:dyDescent="0.35">
      <c r="A84">
        <v>331.9967929798525</v>
      </c>
      <c r="B84">
        <f t="shared" si="1"/>
        <v>0.16780106226962785</v>
      </c>
    </row>
    <row r="85" spans="1:2" x14ac:dyDescent="0.35">
      <c r="A85">
        <v>336.70839186345597</v>
      </c>
      <c r="B85">
        <f t="shared" si="1"/>
        <v>0.1594531680005434</v>
      </c>
    </row>
    <row r="86" spans="1:2" x14ac:dyDescent="0.35">
      <c r="A86">
        <v>344.30567149421682</v>
      </c>
      <c r="B86">
        <f t="shared" si="1"/>
        <v>0.14663598074635997</v>
      </c>
    </row>
    <row r="87" spans="1:2" x14ac:dyDescent="0.35">
      <c r="A87">
        <v>346.14991660442053</v>
      </c>
      <c r="B87">
        <f t="shared" si="1"/>
        <v>0.14364275030953919</v>
      </c>
    </row>
    <row r="88" spans="1:2" x14ac:dyDescent="0.35">
      <c r="A88">
        <v>348.47952898400251</v>
      </c>
      <c r="B88">
        <f t="shared" si="1"/>
        <v>0.13992689960587268</v>
      </c>
    </row>
    <row r="89" spans="1:2" x14ac:dyDescent="0.35">
      <c r="A89">
        <v>351.04017845955701</v>
      </c>
      <c r="B89">
        <f t="shared" si="1"/>
        <v>0.13592575745549179</v>
      </c>
    </row>
    <row r="90" spans="1:2" x14ac:dyDescent="0.35">
      <c r="A90">
        <v>351.34731485390012</v>
      </c>
      <c r="B90">
        <f t="shared" si="1"/>
        <v>0.13545165862548794</v>
      </c>
    </row>
    <row r="91" spans="1:2" x14ac:dyDescent="0.35">
      <c r="A91">
        <v>365.14450558459248</v>
      </c>
      <c r="B91">
        <f t="shared" si="1"/>
        <v>0.11541146974611778</v>
      </c>
    </row>
    <row r="92" spans="1:2" x14ac:dyDescent="0.35">
      <c r="A92">
        <v>368.39516124205471</v>
      </c>
      <c r="B92">
        <f t="shared" si="1"/>
        <v>0.11103921029697408</v>
      </c>
    </row>
    <row r="93" spans="1:2" x14ac:dyDescent="0.35">
      <c r="A93">
        <v>369.55068641688342</v>
      </c>
      <c r="B93">
        <f t="shared" si="1"/>
        <v>0.1095161855526528</v>
      </c>
    </row>
    <row r="94" spans="1:2" x14ac:dyDescent="0.35">
      <c r="A94">
        <v>394.9748213446486</v>
      </c>
      <c r="B94">
        <f t="shared" si="1"/>
        <v>7.9937994374507895E-2</v>
      </c>
    </row>
    <row r="95" spans="1:2" x14ac:dyDescent="0.35">
      <c r="A95">
        <v>397.49166755491092</v>
      </c>
      <c r="B95">
        <f t="shared" si="1"/>
        <v>7.7396881977367799E-2</v>
      </c>
    </row>
    <row r="96" spans="1:2" x14ac:dyDescent="0.35">
      <c r="A96">
        <v>407.06326690003471</v>
      </c>
      <c r="B96">
        <f t="shared" si="1"/>
        <v>6.8320957034839896E-2</v>
      </c>
    </row>
    <row r="97" spans="1:2" x14ac:dyDescent="0.35">
      <c r="A97">
        <v>432.07841744702409</v>
      </c>
      <c r="B97">
        <f t="shared" si="1"/>
        <v>4.8629057771925478E-2</v>
      </c>
    </row>
    <row r="98" spans="1:2" x14ac:dyDescent="0.35">
      <c r="A98">
        <v>451.62228690832251</v>
      </c>
      <c r="B98">
        <f t="shared" si="1"/>
        <v>3.6762593833042236E-2</v>
      </c>
    </row>
    <row r="99" spans="1:2" x14ac:dyDescent="0.35">
      <c r="A99">
        <v>469.40448332125248</v>
      </c>
      <c r="B99">
        <f t="shared" si="1"/>
        <v>2.8196644722000369E-2</v>
      </c>
    </row>
    <row r="100" spans="1:2" x14ac:dyDescent="0.35">
      <c r="A100">
        <v>476.45078551812622</v>
      </c>
      <c r="B100">
        <f t="shared" si="1"/>
        <v>2.5311294131532821E-2</v>
      </c>
    </row>
    <row r="101" spans="1:2" x14ac:dyDescent="0.35">
      <c r="A101">
        <v>498.60140042077597</v>
      </c>
      <c r="B101">
        <f t="shared" si="1"/>
        <v>1.7839522618921157E-2</v>
      </c>
    </row>
    <row r="102" spans="1:2" x14ac:dyDescent="0.35">
      <c r="A102">
        <v>554.79862681508757</v>
      </c>
      <c r="B102">
        <f t="shared" si="1"/>
        <v>6.8382790052534592E-3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BBCAC-F3B4-4BCF-B387-EB3A4E785569}">
  <dimension ref="A1:D102"/>
  <sheetViews>
    <sheetView workbookViewId="0">
      <selection activeCell="I30" sqref="I30"/>
    </sheetView>
  </sheetViews>
  <sheetFormatPr defaultRowHeight="14.5" x14ac:dyDescent="0.35"/>
  <cols>
    <col min="2" max="2" width="15.26953125" customWidth="1"/>
  </cols>
  <sheetData>
    <row r="1" spans="1:4" x14ac:dyDescent="0.35">
      <c r="A1" t="s">
        <v>2</v>
      </c>
      <c r="B1" t="s">
        <v>0</v>
      </c>
    </row>
    <row r="2" spans="1:4" x14ac:dyDescent="0.35">
      <c r="A2">
        <v>0</v>
      </c>
      <c r="B2">
        <f>EXP(-((A2/D$3)^(D$2)))</f>
        <v>1</v>
      </c>
      <c r="C2" t="s">
        <v>8</v>
      </c>
      <c r="D2" s="13">
        <v>2.4997690000000001</v>
      </c>
    </row>
    <row r="3" spans="1:4" x14ac:dyDescent="0.35">
      <c r="A3">
        <v>120.5469845507603</v>
      </c>
      <c r="B3">
        <f>EXP(-((A3/D$3)^(D$2)))</f>
        <v>0.99537829070025996</v>
      </c>
      <c r="C3" t="s">
        <v>1</v>
      </c>
      <c r="D3" s="14">
        <v>1034.95</v>
      </c>
    </row>
    <row r="4" spans="1:4" x14ac:dyDescent="0.35">
      <c r="A4">
        <v>174.09374463825949</v>
      </c>
      <c r="B4">
        <f t="shared" ref="B4:B67" si="0">EXP(-((A4/D$3)^(D$2)))</f>
        <v>0.98845697478066463</v>
      </c>
    </row>
    <row r="5" spans="1:4" x14ac:dyDescent="0.35">
      <c r="A5">
        <v>269.98390361417052</v>
      </c>
      <c r="B5">
        <f t="shared" si="0"/>
        <v>0.9658293577695003</v>
      </c>
    </row>
    <row r="6" spans="1:4" x14ac:dyDescent="0.35">
      <c r="A6">
        <v>281.42302267764711</v>
      </c>
      <c r="B6">
        <f t="shared" si="0"/>
        <v>0.96216591957865283</v>
      </c>
    </row>
    <row r="7" spans="1:4" x14ac:dyDescent="0.35">
      <c r="A7">
        <v>329.67476124925332</v>
      </c>
      <c r="B7">
        <f t="shared" si="0"/>
        <v>0.94432618388139478</v>
      </c>
    </row>
    <row r="8" spans="1:4" x14ac:dyDescent="0.35">
      <c r="A8">
        <v>331.10033752862438</v>
      </c>
      <c r="B8">
        <f t="shared" si="0"/>
        <v>0.94373973606557437</v>
      </c>
    </row>
    <row r="9" spans="1:4" x14ac:dyDescent="0.35">
      <c r="A9">
        <v>342.7431371756914</v>
      </c>
      <c r="B9">
        <f t="shared" si="0"/>
        <v>0.9388216133033892</v>
      </c>
    </row>
    <row r="10" spans="1:4" x14ac:dyDescent="0.35">
      <c r="A10">
        <v>369.71986817432992</v>
      </c>
      <c r="B10">
        <f t="shared" si="0"/>
        <v>0.92654434302291133</v>
      </c>
    </row>
    <row r="11" spans="1:4" x14ac:dyDescent="0.35">
      <c r="A11">
        <v>385.84083163702638</v>
      </c>
      <c r="B11">
        <f t="shared" si="0"/>
        <v>0.91861970167960538</v>
      </c>
    </row>
    <row r="12" spans="1:4" x14ac:dyDescent="0.35">
      <c r="A12">
        <v>430.30824700732012</v>
      </c>
      <c r="B12">
        <f t="shared" si="0"/>
        <v>0.89449967512635864</v>
      </c>
    </row>
    <row r="13" spans="1:4" x14ac:dyDescent="0.35">
      <c r="A13">
        <v>439.68729436753762</v>
      </c>
      <c r="B13">
        <f t="shared" si="0"/>
        <v>0.88899382799544679</v>
      </c>
    </row>
    <row r="14" spans="1:4" x14ac:dyDescent="0.35">
      <c r="A14">
        <v>469.71043004073869</v>
      </c>
      <c r="B14">
        <f t="shared" si="0"/>
        <v>0.87041130584418114</v>
      </c>
    </row>
    <row r="15" spans="1:4" x14ac:dyDescent="0.35">
      <c r="A15">
        <v>499.82467001646808</v>
      </c>
      <c r="B15">
        <f t="shared" si="0"/>
        <v>0.85034480082208141</v>
      </c>
    </row>
    <row r="16" spans="1:4" x14ac:dyDescent="0.35">
      <c r="A16">
        <v>530.51937634423348</v>
      </c>
      <c r="B16">
        <f t="shared" si="0"/>
        <v>0.82848413525907971</v>
      </c>
    </row>
    <row r="17" spans="1:2" x14ac:dyDescent="0.35">
      <c r="A17">
        <v>536.04768349400194</v>
      </c>
      <c r="B17">
        <f t="shared" si="0"/>
        <v>0.82440177945905602</v>
      </c>
    </row>
    <row r="18" spans="1:2" x14ac:dyDescent="0.35">
      <c r="A18">
        <v>552.03045255456266</v>
      </c>
      <c r="B18">
        <f t="shared" si="0"/>
        <v>0.81235912447933456</v>
      </c>
    </row>
    <row r="19" spans="1:2" x14ac:dyDescent="0.35">
      <c r="A19">
        <v>575.43337751357183</v>
      </c>
      <c r="B19">
        <f t="shared" si="0"/>
        <v>0.79410391165761729</v>
      </c>
    </row>
    <row r="20" spans="1:2" x14ac:dyDescent="0.35">
      <c r="A20">
        <v>588.46656404188843</v>
      </c>
      <c r="B20">
        <f t="shared" si="0"/>
        <v>0.7836315910879087</v>
      </c>
    </row>
    <row r="21" spans="1:2" x14ac:dyDescent="0.35">
      <c r="A21">
        <v>599.71160484538052</v>
      </c>
      <c r="B21">
        <f t="shared" si="0"/>
        <v>0.77442816644974244</v>
      </c>
    </row>
    <row r="22" spans="1:2" x14ac:dyDescent="0.35">
      <c r="A22">
        <v>614.40905934375382</v>
      </c>
      <c r="B22">
        <f t="shared" si="0"/>
        <v>0.76217424362748676</v>
      </c>
    </row>
    <row r="23" spans="1:2" x14ac:dyDescent="0.35">
      <c r="A23">
        <v>618.66608433723945</v>
      </c>
      <c r="B23">
        <f t="shared" si="0"/>
        <v>0.75857900651483001</v>
      </c>
    </row>
    <row r="24" spans="1:2" x14ac:dyDescent="0.35">
      <c r="A24">
        <v>640.8728707536784</v>
      </c>
      <c r="B24">
        <f t="shared" si="0"/>
        <v>0.73950642834422575</v>
      </c>
    </row>
    <row r="25" spans="1:2" x14ac:dyDescent="0.35">
      <c r="A25">
        <v>656.010680106113</v>
      </c>
      <c r="B25">
        <f t="shared" si="0"/>
        <v>0.72621611769168748</v>
      </c>
    </row>
    <row r="26" spans="1:2" x14ac:dyDescent="0.35">
      <c r="A26">
        <v>663.18253044670803</v>
      </c>
      <c r="B26">
        <f t="shared" si="0"/>
        <v>0.71984302351721219</v>
      </c>
    </row>
    <row r="27" spans="1:2" x14ac:dyDescent="0.35">
      <c r="A27">
        <v>666.139825815569</v>
      </c>
      <c r="B27">
        <f t="shared" si="0"/>
        <v>0.71720133862144131</v>
      </c>
    </row>
    <row r="28" spans="1:2" x14ac:dyDescent="0.35">
      <c r="A28">
        <v>692.97256486258482</v>
      </c>
      <c r="B28">
        <f t="shared" si="0"/>
        <v>0.69288817241471623</v>
      </c>
    </row>
    <row r="29" spans="1:2" x14ac:dyDescent="0.35">
      <c r="A29">
        <v>706.5148829335659</v>
      </c>
      <c r="B29">
        <f t="shared" si="0"/>
        <v>0.68040090735641212</v>
      </c>
    </row>
    <row r="30" spans="1:2" x14ac:dyDescent="0.35">
      <c r="A30">
        <v>712.22951220886625</v>
      </c>
      <c r="B30">
        <f t="shared" si="0"/>
        <v>0.67509200702140704</v>
      </c>
    </row>
    <row r="31" spans="1:2" x14ac:dyDescent="0.35">
      <c r="A31">
        <v>712.9075027687901</v>
      </c>
      <c r="B31">
        <f t="shared" si="0"/>
        <v>0.67446066847158892</v>
      </c>
    </row>
    <row r="32" spans="1:2" x14ac:dyDescent="0.35">
      <c r="A32">
        <v>734.27830203129884</v>
      </c>
      <c r="B32">
        <f t="shared" si="0"/>
        <v>0.65440989517195103</v>
      </c>
    </row>
    <row r="33" spans="1:2" x14ac:dyDescent="0.35">
      <c r="A33">
        <v>741.93959941753405</v>
      </c>
      <c r="B33">
        <f t="shared" si="0"/>
        <v>0.64715632805493717</v>
      </c>
    </row>
    <row r="34" spans="1:2" x14ac:dyDescent="0.35">
      <c r="A34">
        <v>753.0878415523697</v>
      </c>
      <c r="B34">
        <f t="shared" si="0"/>
        <v>0.63654677800061688</v>
      </c>
    </row>
    <row r="35" spans="1:2" x14ac:dyDescent="0.35">
      <c r="A35">
        <v>759.62150748584702</v>
      </c>
      <c r="B35">
        <f t="shared" si="0"/>
        <v>0.63030123650963354</v>
      </c>
    </row>
    <row r="36" spans="1:2" x14ac:dyDescent="0.35">
      <c r="A36">
        <v>763.04498553252165</v>
      </c>
      <c r="B36">
        <f t="shared" si="0"/>
        <v>0.62702120542590134</v>
      </c>
    </row>
    <row r="37" spans="1:2" x14ac:dyDescent="0.35">
      <c r="A37">
        <v>765.13327702985521</v>
      </c>
      <c r="B37">
        <f t="shared" si="0"/>
        <v>0.62501799435948546</v>
      </c>
    </row>
    <row r="38" spans="1:2" x14ac:dyDescent="0.35">
      <c r="A38">
        <v>765.55876882172959</v>
      </c>
      <c r="B38">
        <f t="shared" si="0"/>
        <v>0.62460961830544759</v>
      </c>
    </row>
    <row r="39" spans="1:2" x14ac:dyDescent="0.35">
      <c r="A39">
        <v>766.60861426877966</v>
      </c>
      <c r="B39">
        <f t="shared" si="0"/>
        <v>0.6236016906125208</v>
      </c>
    </row>
    <row r="40" spans="1:2" x14ac:dyDescent="0.35">
      <c r="A40">
        <v>776.61924392762228</v>
      </c>
      <c r="B40">
        <f t="shared" si="0"/>
        <v>0.61396947719490913</v>
      </c>
    </row>
    <row r="41" spans="1:2" x14ac:dyDescent="0.35">
      <c r="A41">
        <v>797.85568423142558</v>
      </c>
      <c r="B41">
        <f t="shared" si="0"/>
        <v>0.5934267996701067</v>
      </c>
    </row>
    <row r="42" spans="1:2" x14ac:dyDescent="0.35">
      <c r="A42">
        <v>802.75338798602331</v>
      </c>
      <c r="B42">
        <f t="shared" si="0"/>
        <v>0.58867208283882733</v>
      </c>
    </row>
    <row r="43" spans="1:2" x14ac:dyDescent="0.35">
      <c r="A43">
        <v>811.91464178836554</v>
      </c>
      <c r="B43">
        <f t="shared" si="0"/>
        <v>0.57976511514947526</v>
      </c>
    </row>
    <row r="44" spans="1:2" x14ac:dyDescent="0.35">
      <c r="A44">
        <v>831.89067376070534</v>
      </c>
      <c r="B44">
        <f t="shared" si="0"/>
        <v>0.56030119526233491</v>
      </c>
    </row>
    <row r="45" spans="1:2" x14ac:dyDescent="0.35">
      <c r="A45">
        <v>851.17821642567355</v>
      </c>
      <c r="B45">
        <f t="shared" si="0"/>
        <v>0.54148468595621402</v>
      </c>
    </row>
    <row r="46" spans="1:2" x14ac:dyDescent="0.35">
      <c r="A46">
        <v>860.78764447673666</v>
      </c>
      <c r="B46">
        <f t="shared" si="0"/>
        <v>0.53211299528007838</v>
      </c>
    </row>
    <row r="47" spans="1:2" x14ac:dyDescent="0.35">
      <c r="A47">
        <v>869.0846941307218</v>
      </c>
      <c r="B47">
        <f t="shared" si="0"/>
        <v>0.52402755412509161</v>
      </c>
    </row>
    <row r="48" spans="1:2" x14ac:dyDescent="0.35">
      <c r="A48">
        <v>873.48209483462426</v>
      </c>
      <c r="B48">
        <f t="shared" si="0"/>
        <v>0.51974573797247869</v>
      </c>
    </row>
    <row r="49" spans="1:2" x14ac:dyDescent="0.35">
      <c r="A49">
        <v>874.63125560547451</v>
      </c>
      <c r="B49">
        <f t="shared" si="0"/>
        <v>0.51862724868077192</v>
      </c>
    </row>
    <row r="50" spans="1:2" x14ac:dyDescent="0.35">
      <c r="A50">
        <v>890.40779816851034</v>
      </c>
      <c r="B50">
        <f t="shared" si="0"/>
        <v>0.50329606039588992</v>
      </c>
    </row>
    <row r="51" spans="1:2" x14ac:dyDescent="0.35">
      <c r="A51">
        <v>899.60502503646967</v>
      </c>
      <c r="B51">
        <f t="shared" si="0"/>
        <v>0.49438430088084862</v>
      </c>
    </row>
    <row r="52" spans="1:2" x14ac:dyDescent="0.35">
      <c r="A52">
        <v>911.06421126377745</v>
      </c>
      <c r="B52">
        <f t="shared" si="0"/>
        <v>0.48331446876996043</v>
      </c>
    </row>
    <row r="53" spans="1:2" x14ac:dyDescent="0.35">
      <c r="A53">
        <v>923.14473155988276</v>
      </c>
      <c r="B53">
        <f t="shared" si="0"/>
        <v>0.47169236272031778</v>
      </c>
    </row>
    <row r="54" spans="1:2" x14ac:dyDescent="0.35">
      <c r="A54">
        <v>935.2249655007804</v>
      </c>
      <c r="B54">
        <f t="shared" si="0"/>
        <v>0.46012796620994872</v>
      </c>
    </row>
    <row r="55" spans="1:2" x14ac:dyDescent="0.35">
      <c r="A55">
        <v>947.89841968055771</v>
      </c>
      <c r="B55">
        <f t="shared" si="0"/>
        <v>0.4480663688145527</v>
      </c>
    </row>
    <row r="56" spans="1:2" x14ac:dyDescent="0.35">
      <c r="A56">
        <v>951.30288042862651</v>
      </c>
      <c r="B56">
        <f t="shared" si="0"/>
        <v>0.44483977700591237</v>
      </c>
    </row>
    <row r="57" spans="1:2" x14ac:dyDescent="0.35">
      <c r="A57">
        <v>965.96158760606181</v>
      </c>
      <c r="B57">
        <f t="shared" si="0"/>
        <v>0.43101832325046835</v>
      </c>
    </row>
    <row r="58" spans="1:2" x14ac:dyDescent="0.35">
      <c r="A58">
        <v>979.06291705749379</v>
      </c>
      <c r="B58">
        <f t="shared" si="0"/>
        <v>0.41877160671280655</v>
      </c>
    </row>
    <row r="59" spans="1:2" x14ac:dyDescent="0.35">
      <c r="A59">
        <v>988.37838085357271</v>
      </c>
      <c r="B59">
        <f t="shared" si="0"/>
        <v>0.41013034100079676</v>
      </c>
    </row>
    <row r="60" spans="1:2" x14ac:dyDescent="0.35">
      <c r="A60">
        <v>1010.3417197972381</v>
      </c>
      <c r="B60">
        <f t="shared" si="0"/>
        <v>0.38999634730299415</v>
      </c>
    </row>
    <row r="61" spans="1:2" x14ac:dyDescent="0.35">
      <c r="A61">
        <v>1016.475912254385</v>
      </c>
      <c r="B61">
        <f t="shared" si="0"/>
        <v>0.38443749231793573</v>
      </c>
    </row>
    <row r="62" spans="1:2" x14ac:dyDescent="0.35">
      <c r="A62">
        <v>1026.721098692223</v>
      </c>
      <c r="B62">
        <f t="shared" si="0"/>
        <v>0.37522003999292092</v>
      </c>
    </row>
    <row r="63" spans="1:2" x14ac:dyDescent="0.35">
      <c r="A63">
        <v>1026.970987607134</v>
      </c>
      <c r="B63">
        <f t="shared" si="0"/>
        <v>0.37499628963337517</v>
      </c>
    </row>
    <row r="64" spans="1:2" x14ac:dyDescent="0.35">
      <c r="A64">
        <v>1037.576497260495</v>
      </c>
      <c r="B64">
        <f t="shared" si="0"/>
        <v>0.36554861667148592</v>
      </c>
    </row>
    <row r="65" spans="1:2" x14ac:dyDescent="0.35">
      <c r="A65">
        <v>1040.92389387663</v>
      </c>
      <c r="B65">
        <f t="shared" si="0"/>
        <v>0.36258673128236035</v>
      </c>
    </row>
    <row r="66" spans="1:2" x14ac:dyDescent="0.35">
      <c r="A66">
        <v>1041.972959831083</v>
      </c>
      <c r="B66">
        <f t="shared" si="0"/>
        <v>0.36166050542385447</v>
      </c>
    </row>
    <row r="67" spans="1:2" x14ac:dyDescent="0.35">
      <c r="A67">
        <v>1046.899215919575</v>
      </c>
      <c r="B67">
        <f t="shared" si="0"/>
        <v>0.35732414881271218</v>
      </c>
    </row>
    <row r="68" spans="1:2" x14ac:dyDescent="0.35">
      <c r="A68">
        <v>1052.217819284489</v>
      </c>
      <c r="B68">
        <f t="shared" ref="B68:B102" si="1">EXP(-((A68/D$3)^(D$2)))</f>
        <v>0.35266695117784186</v>
      </c>
    </row>
    <row r="69" spans="1:2" x14ac:dyDescent="0.35">
      <c r="A69">
        <v>1074.7261008131891</v>
      </c>
      <c r="B69">
        <f t="shared" si="1"/>
        <v>0.33325084027755808</v>
      </c>
    </row>
    <row r="70" spans="1:2" x14ac:dyDescent="0.35">
      <c r="A70">
        <v>1081.474015234774</v>
      </c>
      <c r="B70">
        <f t="shared" si="1"/>
        <v>0.32752591328279645</v>
      </c>
    </row>
    <row r="71" spans="1:2" x14ac:dyDescent="0.35">
      <c r="A71">
        <v>1085.560416751282</v>
      </c>
      <c r="B71">
        <f t="shared" si="1"/>
        <v>0.32408127491669236</v>
      </c>
    </row>
    <row r="72" spans="1:2" x14ac:dyDescent="0.35">
      <c r="A72">
        <v>1097.0879558502261</v>
      </c>
      <c r="B72">
        <f t="shared" si="1"/>
        <v>0.31445654266109402</v>
      </c>
    </row>
    <row r="73" spans="1:2" x14ac:dyDescent="0.35">
      <c r="A73">
        <v>1099.750034728522</v>
      </c>
      <c r="B73">
        <f t="shared" si="1"/>
        <v>0.31225359857590013</v>
      </c>
    </row>
    <row r="74" spans="1:2" x14ac:dyDescent="0.35">
      <c r="A74">
        <v>1131.829204760739</v>
      </c>
      <c r="B74">
        <f t="shared" si="1"/>
        <v>0.2863111647882049</v>
      </c>
    </row>
    <row r="75" spans="1:2" x14ac:dyDescent="0.35">
      <c r="A75">
        <v>1136.870646820639</v>
      </c>
      <c r="B75">
        <f t="shared" si="1"/>
        <v>0.28233855741247577</v>
      </c>
    </row>
    <row r="76" spans="1:2" x14ac:dyDescent="0.35">
      <c r="A76">
        <v>1140.2089869898909</v>
      </c>
      <c r="B76">
        <f t="shared" si="1"/>
        <v>0.279724010368743</v>
      </c>
    </row>
    <row r="77" spans="1:2" x14ac:dyDescent="0.35">
      <c r="A77">
        <v>1144.847258031233</v>
      </c>
      <c r="B77">
        <f t="shared" si="1"/>
        <v>0.27611274514823309</v>
      </c>
    </row>
    <row r="78" spans="1:2" x14ac:dyDescent="0.35">
      <c r="A78">
        <v>1148.07183403813</v>
      </c>
      <c r="B78">
        <f t="shared" si="1"/>
        <v>0.27361689679915563</v>
      </c>
    </row>
    <row r="79" spans="1:2" x14ac:dyDescent="0.35">
      <c r="A79">
        <v>1162.3510665556421</v>
      </c>
      <c r="B79">
        <f t="shared" si="1"/>
        <v>0.26271176932597817</v>
      </c>
    </row>
    <row r="80" spans="1:2" x14ac:dyDescent="0.35">
      <c r="A80">
        <v>1165.882123861149</v>
      </c>
      <c r="B80">
        <f t="shared" si="1"/>
        <v>0.26005250549248521</v>
      </c>
    </row>
    <row r="81" spans="1:2" x14ac:dyDescent="0.35">
      <c r="A81">
        <v>1186.2504465475849</v>
      </c>
      <c r="B81">
        <f t="shared" si="1"/>
        <v>0.24500791040776693</v>
      </c>
    </row>
    <row r="82" spans="1:2" x14ac:dyDescent="0.35">
      <c r="A82">
        <v>1196.187492428812</v>
      </c>
      <c r="B82">
        <f t="shared" si="1"/>
        <v>0.2378531776898368</v>
      </c>
    </row>
    <row r="83" spans="1:2" x14ac:dyDescent="0.35">
      <c r="A83">
        <v>1203.326527762388</v>
      </c>
      <c r="B83">
        <f t="shared" si="1"/>
        <v>0.23278897993538175</v>
      </c>
    </row>
    <row r="84" spans="1:2" x14ac:dyDescent="0.35">
      <c r="A84">
        <v>1224.450935582305</v>
      </c>
      <c r="B84">
        <f t="shared" si="1"/>
        <v>0.2181804160525595</v>
      </c>
    </row>
    <row r="85" spans="1:2" x14ac:dyDescent="0.35">
      <c r="A85">
        <v>1241.9802540743499</v>
      </c>
      <c r="B85">
        <f t="shared" si="1"/>
        <v>0.20649019737971841</v>
      </c>
    </row>
    <row r="86" spans="1:2" x14ac:dyDescent="0.35">
      <c r="A86">
        <v>1244.554191210266</v>
      </c>
      <c r="B86">
        <f t="shared" si="1"/>
        <v>0.2048069380036352</v>
      </c>
    </row>
    <row r="87" spans="1:2" x14ac:dyDescent="0.35">
      <c r="A87">
        <v>1302.9259915023031</v>
      </c>
      <c r="B87">
        <f t="shared" si="1"/>
        <v>0.16894387769052061</v>
      </c>
    </row>
    <row r="88" spans="1:2" x14ac:dyDescent="0.35">
      <c r="A88">
        <v>1318.465793573358</v>
      </c>
      <c r="B88">
        <f t="shared" si="1"/>
        <v>0.16014439913046463</v>
      </c>
    </row>
    <row r="89" spans="1:2" x14ac:dyDescent="0.35">
      <c r="A89">
        <v>1322.93964498014</v>
      </c>
      <c r="B89">
        <f t="shared" si="1"/>
        <v>0.15766925727748621</v>
      </c>
    </row>
    <row r="90" spans="1:2" x14ac:dyDescent="0.35">
      <c r="A90">
        <v>1350.510601648077</v>
      </c>
      <c r="B90">
        <f t="shared" si="1"/>
        <v>0.14298705173900297</v>
      </c>
    </row>
    <row r="91" spans="1:2" x14ac:dyDescent="0.35">
      <c r="A91">
        <v>1358.4011528302051</v>
      </c>
      <c r="B91">
        <f t="shared" si="1"/>
        <v>0.13896502091795457</v>
      </c>
    </row>
    <row r="92" spans="1:2" x14ac:dyDescent="0.35">
      <c r="A92">
        <v>1402.002505860358</v>
      </c>
      <c r="B92">
        <f t="shared" si="1"/>
        <v>0.11816019077612633</v>
      </c>
    </row>
    <row r="93" spans="1:2" x14ac:dyDescent="0.35">
      <c r="A93">
        <v>1405.3783715386389</v>
      </c>
      <c r="B93">
        <f t="shared" si="1"/>
        <v>0.11664822904294272</v>
      </c>
    </row>
    <row r="94" spans="1:2" x14ac:dyDescent="0.35">
      <c r="A94">
        <v>1448.062281484946</v>
      </c>
      <c r="B94">
        <f t="shared" si="1"/>
        <v>9.8721444730830152E-2</v>
      </c>
    </row>
    <row r="95" spans="1:2" x14ac:dyDescent="0.35">
      <c r="A95">
        <v>1460.79313936514</v>
      </c>
      <c r="B95">
        <f t="shared" si="1"/>
        <v>9.3791973834044889E-2</v>
      </c>
    </row>
    <row r="96" spans="1:2" x14ac:dyDescent="0.35">
      <c r="A96">
        <v>1481.9878443787461</v>
      </c>
      <c r="B96">
        <f t="shared" si="1"/>
        <v>8.5996410381865812E-2</v>
      </c>
    </row>
    <row r="97" spans="1:2" x14ac:dyDescent="0.35">
      <c r="A97">
        <v>1505.97110758279</v>
      </c>
      <c r="B97">
        <f t="shared" si="1"/>
        <v>7.7776981217091715E-2</v>
      </c>
    </row>
    <row r="98" spans="1:2" x14ac:dyDescent="0.35">
      <c r="A98">
        <v>1569.13240472445</v>
      </c>
      <c r="B98">
        <f t="shared" si="1"/>
        <v>5.9004251976306793E-2</v>
      </c>
    </row>
    <row r="99" spans="1:2" x14ac:dyDescent="0.35">
      <c r="A99">
        <v>1634.621203126572</v>
      </c>
      <c r="B99">
        <f t="shared" si="1"/>
        <v>4.3512001423405909E-2</v>
      </c>
    </row>
    <row r="100" spans="1:2" x14ac:dyDescent="0.35">
      <c r="A100">
        <v>1645.772467598181</v>
      </c>
      <c r="B100">
        <f t="shared" si="1"/>
        <v>4.1235763016040081E-2</v>
      </c>
    </row>
    <row r="101" spans="1:2" x14ac:dyDescent="0.35">
      <c r="A101">
        <v>1685.187204238654</v>
      </c>
      <c r="B101">
        <f t="shared" si="1"/>
        <v>3.3953120359207237E-2</v>
      </c>
    </row>
    <row r="102" spans="1:2" x14ac:dyDescent="0.35">
      <c r="A102">
        <v>1741.9108504014671</v>
      </c>
      <c r="B102">
        <f t="shared" si="1"/>
        <v>2.5358670275249781E-2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467C-729C-4B20-ADAC-879595A26B46}">
  <dimension ref="A1:U82"/>
  <sheetViews>
    <sheetView tabSelected="1" topLeftCell="A37" workbookViewId="0">
      <selection activeCell="G61" sqref="G61"/>
    </sheetView>
  </sheetViews>
  <sheetFormatPr defaultRowHeight="14.5" x14ac:dyDescent="0.35"/>
  <cols>
    <col min="1" max="1" width="14.54296875" bestFit="1" customWidth="1"/>
    <col min="2" max="3" width="14.36328125" customWidth="1"/>
    <col min="4" max="4" width="15.81640625" bestFit="1" customWidth="1"/>
    <col min="5" max="5" width="16.7265625" bestFit="1" customWidth="1"/>
    <col min="6" max="6" width="20" customWidth="1"/>
    <col min="7" max="7" width="19.36328125" customWidth="1"/>
  </cols>
  <sheetData>
    <row r="1" spans="1:21" x14ac:dyDescent="0.35">
      <c r="A1" s="42" t="s">
        <v>41</v>
      </c>
      <c r="B1" s="42"/>
      <c r="C1" s="42"/>
      <c r="D1" s="42"/>
      <c r="E1" s="42"/>
      <c r="F1" s="42"/>
      <c r="G1" s="33"/>
    </row>
    <row r="2" spans="1:21" x14ac:dyDescent="0.35">
      <c r="A2" t="s">
        <v>35</v>
      </c>
      <c r="B2" t="s">
        <v>34</v>
      </c>
      <c r="C2" t="s">
        <v>4</v>
      </c>
      <c r="D2" t="s">
        <v>0</v>
      </c>
      <c r="E2" t="s">
        <v>5</v>
      </c>
      <c r="F2" t="s">
        <v>36</v>
      </c>
      <c r="G2" s="1"/>
    </row>
    <row r="3" spans="1:21" x14ac:dyDescent="0.35">
      <c r="A3">
        <v>0.99</v>
      </c>
      <c r="B3" s="29">
        <v>39378967.997435503</v>
      </c>
      <c r="C3">
        <v>201.85920966</v>
      </c>
      <c r="D3" s="39">
        <v>2.11936825449911E-123</v>
      </c>
      <c r="E3">
        <v>0.99014778325123098</v>
      </c>
      <c r="F3">
        <v>0.66703510284423795</v>
      </c>
      <c r="G3" s="1"/>
    </row>
    <row r="4" spans="1:21" x14ac:dyDescent="0.35">
      <c r="A4">
        <v>0.98</v>
      </c>
      <c r="B4" s="29">
        <v>39378967.997435302</v>
      </c>
      <c r="C4">
        <v>98.320169120000003</v>
      </c>
      <c r="D4" s="30">
        <v>6.0693502722512101E-15</v>
      </c>
      <c r="E4" s="9">
        <v>0.98</v>
      </c>
      <c r="F4">
        <v>0.69623064994812001</v>
      </c>
      <c r="G4" s="1"/>
      <c r="U4">
        <f>AVERAGE(Tabela8[Tempo de execução])</f>
        <v>0.81882935762405373</v>
      </c>
    </row>
    <row r="5" spans="1:21" x14ac:dyDescent="0.35">
      <c r="A5">
        <v>0.97</v>
      </c>
      <c r="B5" s="29">
        <v>39376263.450973503</v>
      </c>
      <c r="C5">
        <v>65.211651599999996</v>
      </c>
      <c r="D5" s="30">
        <v>7.1113745540806196E-5</v>
      </c>
      <c r="E5" s="31">
        <v>0.97015079830724604</v>
      </c>
      <c r="F5">
        <v>0.78315544128417902</v>
      </c>
      <c r="G5" s="1"/>
    </row>
    <row r="6" spans="1:21" x14ac:dyDescent="0.35">
      <c r="A6">
        <v>0.96</v>
      </c>
      <c r="B6" s="29">
        <v>38576751.018492699</v>
      </c>
      <c r="C6">
        <v>48.618413740000001</v>
      </c>
      <c r="D6" s="9">
        <v>2.1361710139327101E-2</v>
      </c>
      <c r="E6">
        <v>0.96061561176761601</v>
      </c>
      <c r="F6">
        <v>0.78733611106872503</v>
      </c>
      <c r="G6" s="1"/>
      <c r="U6">
        <f>AVERAGE(Tabela9[Tempo de execução])</f>
        <v>0.88228482007980313</v>
      </c>
    </row>
    <row r="7" spans="1:21" x14ac:dyDescent="0.35">
      <c r="A7">
        <v>0.95</v>
      </c>
      <c r="B7" s="29">
        <v>9139157.7577909697</v>
      </c>
      <c r="C7">
        <v>13.40146234</v>
      </c>
      <c r="D7">
        <v>0.92645039921954397</v>
      </c>
      <c r="E7">
        <v>0.95515724804338997</v>
      </c>
      <c r="F7">
        <v>0.85782575607299805</v>
      </c>
      <c r="G7" s="1"/>
    </row>
    <row r="8" spans="1:21" x14ac:dyDescent="0.35">
      <c r="A8">
        <v>0.9</v>
      </c>
      <c r="B8" s="29">
        <v>9139157.7577909697</v>
      </c>
      <c r="C8">
        <v>13.068880910000001</v>
      </c>
      <c r="D8">
        <v>0.92645039921954397</v>
      </c>
      <c r="E8">
        <v>0.95515724804338997</v>
      </c>
      <c r="F8">
        <v>0.87666893005371005</v>
      </c>
      <c r="G8" s="1"/>
      <c r="U8">
        <f>AVERAGE(Tabela10[Tempo de execução])</f>
        <v>0.91694310307502702</v>
      </c>
    </row>
    <row r="9" spans="1:21" x14ac:dyDescent="0.35">
      <c r="A9">
        <v>0.85</v>
      </c>
      <c r="B9" s="29">
        <v>9139157.7577909697</v>
      </c>
      <c r="C9">
        <v>13.0272755</v>
      </c>
      <c r="D9">
        <v>0.92645039921954397</v>
      </c>
      <c r="E9">
        <v>0.95515724804338997</v>
      </c>
      <c r="F9">
        <v>0.94119143486022905</v>
      </c>
      <c r="G9" s="1"/>
    </row>
    <row r="10" spans="1:21" x14ac:dyDescent="0.35">
      <c r="A10">
        <v>0.8</v>
      </c>
      <c r="B10" s="29">
        <v>9139157.7577909697</v>
      </c>
      <c r="C10">
        <v>13.49192654</v>
      </c>
      <c r="D10">
        <v>0.92645039921954397</v>
      </c>
      <c r="E10">
        <v>0.95515724804338997</v>
      </c>
      <c r="F10">
        <v>0.94119143486022905</v>
      </c>
      <c r="G10" s="1"/>
    </row>
    <row r="11" spans="1:21" x14ac:dyDescent="0.35">
      <c r="A11" s="42" t="s">
        <v>37</v>
      </c>
      <c r="B11" s="42"/>
      <c r="C11" s="42"/>
      <c r="D11" s="42"/>
      <c r="E11" s="42"/>
      <c r="F11" s="42"/>
      <c r="G11" s="33"/>
    </row>
    <row r="12" spans="1:21" x14ac:dyDescent="0.35">
      <c r="A12" t="s">
        <v>35</v>
      </c>
      <c r="B12" t="s">
        <v>34</v>
      </c>
      <c r="C12" t="s">
        <v>4</v>
      </c>
      <c r="D12" t="s">
        <v>0</v>
      </c>
      <c r="E12" t="s">
        <v>5</v>
      </c>
      <c r="F12" t="s">
        <v>36</v>
      </c>
      <c r="G12" s="1"/>
    </row>
    <row r="13" spans="1:21" x14ac:dyDescent="0.35">
      <c r="A13">
        <v>0.99</v>
      </c>
      <c r="B13" s="29">
        <v>5724409.9057274796</v>
      </c>
      <c r="C13">
        <v>1188.53414363</v>
      </c>
      <c r="D13" s="39">
        <v>1.1777425972299999E-10</v>
      </c>
      <c r="E13" s="9">
        <v>0.99000000000058297</v>
      </c>
      <c r="F13">
        <v>0.68371772766113204</v>
      </c>
      <c r="G13" s="1"/>
    </row>
    <row r="14" spans="1:21" x14ac:dyDescent="0.35">
      <c r="A14">
        <v>0.98</v>
      </c>
      <c r="B14" s="29">
        <v>5703393.6755446298</v>
      </c>
      <c r="C14" s="31">
        <v>587.47750529999996</v>
      </c>
      <c r="D14">
        <v>3.76960815267552E-3</v>
      </c>
      <c r="E14">
        <v>0.98000361498781297</v>
      </c>
      <c r="F14">
        <v>0.84274601936340299</v>
      </c>
      <c r="G14" s="1"/>
    </row>
    <row r="15" spans="1:21" x14ac:dyDescent="0.35">
      <c r="A15">
        <v>0.97</v>
      </c>
      <c r="B15" s="29">
        <v>5097751.7019162402</v>
      </c>
      <c r="C15">
        <v>366.96258174000002</v>
      </c>
      <c r="D15" s="30">
        <v>0.114248077441158</v>
      </c>
      <c r="E15" s="31">
        <v>0.97001304961923496</v>
      </c>
      <c r="F15">
        <v>0.94327449798583896</v>
      </c>
      <c r="G15" s="1"/>
    </row>
    <row r="16" spans="1:21" x14ac:dyDescent="0.35">
      <c r="A16">
        <v>0.96</v>
      </c>
      <c r="B16" s="29">
        <v>3374136.3316078801</v>
      </c>
      <c r="C16">
        <v>225.10699546999999</v>
      </c>
      <c r="D16" s="9">
        <v>0.44053230400725502</v>
      </c>
      <c r="E16">
        <v>0.96007452768864199</v>
      </c>
      <c r="F16">
        <v>0.92736935615539495</v>
      </c>
      <c r="G16" s="1"/>
    </row>
    <row r="17" spans="1:7" x14ac:dyDescent="0.35">
      <c r="A17">
        <v>0.95</v>
      </c>
      <c r="B17" s="32">
        <v>2138897.6976374402</v>
      </c>
      <c r="C17">
        <v>149.81299296</v>
      </c>
      <c r="D17">
        <v>0.69804709038803903</v>
      </c>
      <c r="E17">
        <v>0.95018409603363696</v>
      </c>
      <c r="F17">
        <v>0.90869545936584395</v>
      </c>
      <c r="G17" s="1"/>
    </row>
    <row r="18" spans="1:7" x14ac:dyDescent="0.35">
      <c r="A18">
        <v>0.94</v>
      </c>
      <c r="B18" s="29">
        <v>1681704.52897035</v>
      </c>
      <c r="C18">
        <v>111.95957936000001</v>
      </c>
      <c r="D18">
        <v>0.81915391612174004</v>
      </c>
      <c r="E18">
        <v>0.94000023785331199</v>
      </c>
      <c r="F18">
        <v>0.88335752487182595</v>
      </c>
      <c r="G18" s="1"/>
    </row>
    <row r="19" spans="1:7" x14ac:dyDescent="0.35">
      <c r="A19">
        <v>0.93</v>
      </c>
      <c r="B19" s="29">
        <v>1557252.4860980001</v>
      </c>
      <c r="C19">
        <v>90.902712039999997</v>
      </c>
      <c r="D19">
        <v>0.87709750752583004</v>
      </c>
      <c r="E19">
        <v>0.93035357665914498</v>
      </c>
      <c r="F19">
        <v>0.88474106788635198</v>
      </c>
      <c r="G19" s="1"/>
    </row>
    <row r="20" spans="1:7" x14ac:dyDescent="0.35">
      <c r="A20">
        <v>0.92</v>
      </c>
      <c r="B20" s="29">
        <v>1548162.60220728</v>
      </c>
      <c r="C20">
        <v>83.187922589999999</v>
      </c>
      <c r="D20">
        <v>0.89446516198371195</v>
      </c>
      <c r="E20">
        <v>0.92599607779279203</v>
      </c>
      <c r="F20">
        <v>0.91753721237182595</v>
      </c>
      <c r="G20" s="1"/>
    </row>
    <row r="21" spans="1:7" x14ac:dyDescent="0.35">
      <c r="A21">
        <v>0.91</v>
      </c>
      <c r="B21" s="29">
        <v>1548162.60220728</v>
      </c>
      <c r="C21">
        <v>83.882052439999995</v>
      </c>
      <c r="D21">
        <v>0.89446516198371195</v>
      </c>
      <c r="E21">
        <v>0.92599607779279203</v>
      </c>
      <c r="F21">
        <v>0.89322662353515603</v>
      </c>
      <c r="G21" s="33"/>
    </row>
    <row r="22" spans="1:7" x14ac:dyDescent="0.35">
      <c r="A22">
        <v>0.9</v>
      </c>
      <c r="B22" s="29">
        <v>1548162.60220728</v>
      </c>
      <c r="C22">
        <v>83.504899429999995</v>
      </c>
      <c r="D22">
        <v>0.89446516198371195</v>
      </c>
      <c r="E22">
        <v>0.92599607779279203</v>
      </c>
      <c r="F22" s="31">
        <v>0.90960812568664495</v>
      </c>
      <c r="G22" s="1"/>
    </row>
    <row r="23" spans="1:7" x14ac:dyDescent="0.35">
      <c r="A23">
        <v>0.85</v>
      </c>
      <c r="B23" s="29">
        <v>1548162.60220728</v>
      </c>
      <c r="C23">
        <v>83.903166319999997</v>
      </c>
      <c r="D23">
        <v>0.89446516198371195</v>
      </c>
      <c r="E23">
        <v>0.92599607779279203</v>
      </c>
      <c r="F23">
        <v>0.89657211303710904</v>
      </c>
      <c r="G23" s="1"/>
    </row>
    <row r="24" spans="1:7" x14ac:dyDescent="0.35">
      <c r="A24">
        <v>0.8</v>
      </c>
      <c r="B24" s="29">
        <v>1548162.60220728</v>
      </c>
      <c r="C24">
        <v>83.207425069999999</v>
      </c>
      <c r="D24">
        <v>0.89446516198371195</v>
      </c>
      <c r="E24">
        <v>0.92599607779279203</v>
      </c>
      <c r="F24">
        <v>0.89657211303710904</v>
      </c>
      <c r="G24" s="1"/>
    </row>
    <row r="25" spans="1:7" x14ac:dyDescent="0.35">
      <c r="A25" s="42" t="s">
        <v>38</v>
      </c>
      <c r="B25" s="42"/>
      <c r="C25" s="42"/>
      <c r="D25" s="42"/>
      <c r="E25" s="42"/>
      <c r="F25" s="42"/>
      <c r="G25" s="1"/>
    </row>
    <row r="26" spans="1:7" x14ac:dyDescent="0.35">
      <c r="A26" t="s">
        <v>35</v>
      </c>
      <c r="B26" t="s">
        <v>34</v>
      </c>
      <c r="C26" t="s">
        <v>4</v>
      </c>
      <c r="D26" t="s">
        <v>0</v>
      </c>
      <c r="E26" t="s">
        <v>5</v>
      </c>
      <c r="F26" t="s">
        <v>36</v>
      </c>
      <c r="G26" s="1"/>
    </row>
    <row r="27" spans="1:7" x14ac:dyDescent="0.35">
      <c r="A27">
        <v>0.99</v>
      </c>
      <c r="B27" s="29">
        <v>1126754.7206377899</v>
      </c>
      <c r="C27">
        <v>1970.0630165600001</v>
      </c>
      <c r="D27">
        <v>6.7509755119603103E-3</v>
      </c>
      <c r="E27">
        <v>0.99000348534099503</v>
      </c>
      <c r="F27">
        <v>0.94698786735534601</v>
      </c>
      <c r="G27" s="1"/>
    </row>
    <row r="28" spans="1:7" x14ac:dyDescent="0.35">
      <c r="A28">
        <v>0.98</v>
      </c>
      <c r="B28" s="29">
        <v>300148.15702970402</v>
      </c>
      <c r="C28" s="31">
        <v>403.11796291000002</v>
      </c>
      <c r="D28">
        <v>0.90970359546064195</v>
      </c>
      <c r="E28">
        <v>0.98666957385797505</v>
      </c>
      <c r="F28">
        <v>0.90673136711120605</v>
      </c>
      <c r="G28" s="1"/>
    </row>
    <row r="29" spans="1:7" x14ac:dyDescent="0.35">
      <c r="A29">
        <v>0.97</v>
      </c>
      <c r="B29" s="29">
        <v>300148.15702970402</v>
      </c>
      <c r="C29" s="31">
        <v>403.17713006000002</v>
      </c>
      <c r="D29">
        <v>0.90970359546064195</v>
      </c>
      <c r="E29">
        <v>0.98666957385797505</v>
      </c>
      <c r="F29">
        <v>0.88471817970275801</v>
      </c>
      <c r="G29" s="1"/>
    </row>
    <row r="30" spans="1:7" x14ac:dyDescent="0.35">
      <c r="A30">
        <v>0.96</v>
      </c>
      <c r="B30" s="29">
        <v>300148.15702970402</v>
      </c>
      <c r="C30" s="31">
        <v>403.76405799000003</v>
      </c>
      <c r="D30">
        <v>0.90970359546064195</v>
      </c>
      <c r="E30">
        <v>0.98666957385797505</v>
      </c>
      <c r="F30">
        <v>0.90227532386779696</v>
      </c>
      <c r="G30" s="1"/>
    </row>
    <row r="31" spans="1:7" x14ac:dyDescent="0.35">
      <c r="A31">
        <v>0.95</v>
      </c>
      <c r="B31" s="29">
        <v>300148.15702970402</v>
      </c>
      <c r="C31" s="31">
        <v>403.55649442999999</v>
      </c>
      <c r="D31">
        <v>0.90970359546064195</v>
      </c>
      <c r="E31">
        <v>0.98666957385797505</v>
      </c>
      <c r="F31">
        <v>0.92203021049499501</v>
      </c>
      <c r="G31" s="1"/>
    </row>
    <row r="32" spans="1:7" x14ac:dyDescent="0.35">
      <c r="A32">
        <v>0.9</v>
      </c>
      <c r="B32" s="29">
        <v>300148.15702970402</v>
      </c>
      <c r="C32" s="31">
        <v>403.43650821</v>
      </c>
      <c r="D32">
        <v>0.90970359546064195</v>
      </c>
      <c r="E32">
        <v>0.98666957385797505</v>
      </c>
      <c r="F32">
        <v>0.88325667381286599</v>
      </c>
      <c r="G32" s="1"/>
    </row>
    <row r="33" spans="1:7" x14ac:dyDescent="0.35">
      <c r="A33">
        <v>0.85</v>
      </c>
      <c r="B33" s="29">
        <v>300148.15702970402</v>
      </c>
      <c r="C33" s="31">
        <v>403.16485276999998</v>
      </c>
      <c r="D33">
        <v>0.90970359546064195</v>
      </c>
      <c r="E33">
        <v>0.98666957385797505</v>
      </c>
      <c r="F33">
        <v>0.978587865829467</v>
      </c>
      <c r="G33" s="1"/>
    </row>
    <row r="34" spans="1:7" x14ac:dyDescent="0.35">
      <c r="A34">
        <v>0.8</v>
      </c>
      <c r="B34" s="29">
        <v>300148.15702970402</v>
      </c>
      <c r="C34" s="31">
        <v>403.13350675999999</v>
      </c>
      <c r="D34">
        <v>0.90970359546064195</v>
      </c>
      <c r="E34">
        <v>0.98666957385797505</v>
      </c>
      <c r="F34">
        <v>0.91095733642578103</v>
      </c>
      <c r="G34" s="1"/>
    </row>
    <row r="35" spans="1:7" x14ac:dyDescent="0.35">
      <c r="A35" s="42" t="s">
        <v>40</v>
      </c>
      <c r="B35" s="42"/>
      <c r="C35" s="42"/>
      <c r="D35" s="42"/>
      <c r="E35" s="42"/>
      <c r="F35" s="42"/>
      <c r="G35" s="1"/>
    </row>
    <row r="36" spans="1:7" x14ac:dyDescent="0.35">
      <c r="A36" s="36" t="s">
        <v>39</v>
      </c>
      <c r="B36" s="37" t="s">
        <v>34</v>
      </c>
      <c r="C36" s="37" t="s">
        <v>4</v>
      </c>
      <c r="D36" s="37" t="s">
        <v>0</v>
      </c>
      <c r="E36" s="37" t="s">
        <v>5</v>
      </c>
      <c r="F36" s="38" t="s">
        <v>36</v>
      </c>
      <c r="G36" s="37" t="s">
        <v>57</v>
      </c>
    </row>
    <row r="37" spans="1:7" x14ac:dyDescent="0.35">
      <c r="A37" s="18">
        <v>8</v>
      </c>
      <c r="B37" s="34">
        <v>9384437.6882416606</v>
      </c>
      <c r="C37">
        <v>11.630258810000001</v>
      </c>
      <c r="D37" s="16">
        <v>0.95477363278646099</v>
      </c>
      <c r="E37" s="16">
        <v>0.95091222104822104</v>
      </c>
      <c r="F37" s="27">
        <v>0.66362547874450595</v>
      </c>
      <c r="G37">
        <f>MIN(Tabela8[Custo])</f>
        <v>9139157.7577909697</v>
      </c>
    </row>
    <row r="38" spans="1:7" x14ac:dyDescent="0.35">
      <c r="A38" s="19">
        <v>9</v>
      </c>
      <c r="B38" s="35">
        <v>1770206.77422337</v>
      </c>
      <c r="C38" s="17">
        <v>56.916599150000003</v>
      </c>
      <c r="D38" s="17">
        <v>0.95050122293744299</v>
      </c>
      <c r="E38" s="17">
        <v>0.89891979703574898</v>
      </c>
      <c r="F38" s="28">
        <v>0.67440700531005804</v>
      </c>
      <c r="G38">
        <f>MIN(Tabela9[Custo])</f>
        <v>1548162.60220728</v>
      </c>
    </row>
    <row r="39" spans="1:7" x14ac:dyDescent="0.35">
      <c r="A39">
        <v>10</v>
      </c>
      <c r="B39">
        <v>320755.66560573701</v>
      </c>
      <c r="C39">
        <v>315.43398832000003</v>
      </c>
      <c r="D39">
        <v>0.95016396262583602</v>
      </c>
      <c r="E39">
        <v>0.98499869933574402</v>
      </c>
      <c r="F39">
        <v>0.61030650138854903</v>
      </c>
      <c r="G39">
        <f>MIN(Tabela10[Custo])</f>
        <v>300148.15702970402</v>
      </c>
    </row>
    <row r="41" spans="1:7" x14ac:dyDescent="0.35">
      <c r="A41" t="s">
        <v>42</v>
      </c>
      <c r="B41" t="s">
        <v>43</v>
      </c>
      <c r="C41" t="s">
        <v>44</v>
      </c>
      <c r="D41" t="s">
        <v>45</v>
      </c>
    </row>
    <row r="42" spans="1:7" x14ac:dyDescent="0.35">
      <c r="A42" t="s">
        <v>46</v>
      </c>
      <c r="B42">
        <v>100</v>
      </c>
      <c r="C42">
        <v>100</v>
      </c>
      <c r="D42">
        <v>100</v>
      </c>
    </row>
    <row r="43" spans="1:7" x14ac:dyDescent="0.35">
      <c r="A43" t="s">
        <v>47</v>
      </c>
      <c r="B43">
        <v>600</v>
      </c>
      <c r="C43">
        <v>600</v>
      </c>
      <c r="D43">
        <v>600</v>
      </c>
    </row>
    <row r="44" spans="1:7" x14ac:dyDescent="0.35">
      <c r="A44" t="s">
        <v>48</v>
      </c>
      <c r="B44" s="39">
        <v>9.9999999999999995E-21</v>
      </c>
      <c r="C44" s="39">
        <v>9.9999999999999995E-21</v>
      </c>
      <c r="D44" s="39">
        <v>9.9999999999999995E-21</v>
      </c>
    </row>
    <row r="45" spans="1:7" x14ac:dyDescent="0.35">
      <c r="A45" t="s">
        <v>49</v>
      </c>
      <c r="B45" s="40" t="s">
        <v>51</v>
      </c>
      <c r="C45" t="s">
        <v>52</v>
      </c>
      <c r="D45" t="s">
        <v>53</v>
      </c>
    </row>
    <row r="46" spans="1:7" x14ac:dyDescent="0.35">
      <c r="A46" t="s">
        <v>50</v>
      </c>
      <c r="B46" t="s">
        <v>54</v>
      </c>
      <c r="C46" t="s">
        <v>55</v>
      </c>
      <c r="D46" t="s">
        <v>56</v>
      </c>
    </row>
    <row r="66" spans="1:7" x14ac:dyDescent="0.35">
      <c r="A66" s="44"/>
      <c r="B66" s="44"/>
      <c r="C66" s="44"/>
      <c r="D66" s="44"/>
      <c r="E66" s="44"/>
      <c r="F66" s="44"/>
      <c r="G66" s="44"/>
    </row>
    <row r="67" spans="1:7" x14ac:dyDescent="0.35">
      <c r="A67" s="45"/>
      <c r="B67" s="46"/>
      <c r="C67" s="47"/>
      <c r="D67" s="46"/>
      <c r="E67" s="46"/>
      <c r="F67" s="46"/>
      <c r="G67" s="47"/>
    </row>
    <row r="68" spans="1:7" x14ac:dyDescent="0.35">
      <c r="A68" s="45"/>
      <c r="B68" s="46"/>
      <c r="C68" s="46"/>
      <c r="D68" s="46"/>
      <c r="E68" s="46"/>
      <c r="F68" s="46"/>
      <c r="G68" s="47"/>
    </row>
    <row r="69" spans="1:7" x14ac:dyDescent="0.35">
      <c r="A69" s="12"/>
      <c r="B69" s="47"/>
      <c r="C69" s="47"/>
      <c r="D69" s="47"/>
      <c r="E69" s="47"/>
      <c r="F69" s="47"/>
      <c r="G69" s="47"/>
    </row>
    <row r="77" spans="1:7" x14ac:dyDescent="0.35">
      <c r="B77" s="29"/>
      <c r="C77" s="29"/>
      <c r="D77" s="29"/>
    </row>
    <row r="78" spans="1:7" x14ac:dyDescent="0.35">
      <c r="B78" s="29"/>
      <c r="C78" s="29"/>
      <c r="D78" s="29"/>
    </row>
    <row r="79" spans="1:7" x14ac:dyDescent="0.35">
      <c r="B79" s="29"/>
      <c r="C79" s="29"/>
      <c r="D79" s="29"/>
    </row>
    <row r="80" spans="1:7" x14ac:dyDescent="0.35">
      <c r="B80" s="48"/>
      <c r="C80" s="48"/>
      <c r="D80" s="48"/>
    </row>
    <row r="81" spans="2:4" x14ac:dyDescent="0.35">
      <c r="B81" s="48"/>
      <c r="C81" s="48"/>
      <c r="D81" s="48"/>
    </row>
    <row r="82" spans="2:4" x14ac:dyDescent="0.35">
      <c r="B82" s="29"/>
      <c r="C82" s="29"/>
      <c r="D82" s="29"/>
    </row>
  </sheetData>
  <mergeCells count="4">
    <mergeCell ref="A1:F1"/>
    <mergeCell ref="A11:F11"/>
    <mergeCell ref="A25:F25"/>
    <mergeCell ref="A35:F35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5"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Custo e Disponibilidade</vt:lpstr>
      <vt:lpstr>weibull 1</vt:lpstr>
      <vt:lpstr>weibull 2</vt:lpstr>
      <vt:lpstr>weibul 3</vt:lpstr>
      <vt:lpstr>Otimização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Kort</dc:creator>
  <cp:lastModifiedBy>Lucas Kort</cp:lastModifiedBy>
  <dcterms:created xsi:type="dcterms:W3CDTF">2021-08-02T11:56:16Z</dcterms:created>
  <dcterms:modified xsi:type="dcterms:W3CDTF">2021-08-06T15:49:21Z</dcterms:modified>
</cp:coreProperties>
</file>